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ate1904="1" codeName="ThisWorkbook"/>
  <bookViews>
    <workbookView xWindow="-495" yWindow="45" windowWidth="7125" windowHeight="7860" tabRatio="601"/>
  </bookViews>
  <sheets>
    <sheet name="Liens Compétences-Cours" sheetId="8" r:id="rId1"/>
    <sheet name="Intentions_educatives" sheetId="12" r:id="rId2"/>
    <sheet name="Habiletés TIC" sheetId="16" r:id="rId3"/>
  </sheets>
  <definedNames>
    <definedName name="CompetenceXcours_analysecroises">#REF!</definedName>
    <definedName name="IntentionXCours_analysecroisee">#REF!</definedName>
    <definedName name="_xlnm.Print_Area" localSheetId="2">'Habiletés TIC'!$A$1:$Q$86</definedName>
    <definedName name="_xlnm.Print_Area" localSheetId="1">Intentions_educatives!$A$1:$H$18</definedName>
    <definedName name="_xlnm.Print_Area" localSheetId="0">'Liens Compétences-Cours'!$A$1:$D$5</definedName>
  </definedNames>
  <calcPr calcId="145621"/>
</workbook>
</file>

<file path=xl/calcChain.xml><?xml version="1.0" encoding="utf-8"?>
<calcChain xmlns="http://schemas.openxmlformats.org/spreadsheetml/2006/main">
  <c r="E86" i="16" l="1"/>
  <c r="E85" i="16"/>
  <c r="E84" i="16"/>
  <c r="E83" i="16"/>
  <c r="E82" i="16"/>
  <c r="E81" i="16"/>
  <c r="E80" i="16"/>
  <c r="E79" i="16"/>
  <c r="E78" i="16"/>
  <c r="E77" i="16"/>
  <c r="E76" i="16"/>
  <c r="E75" i="16"/>
  <c r="E74" i="16"/>
  <c r="E66" i="16"/>
  <c r="E65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26" i="16"/>
  <c r="E25" i="16"/>
  <c r="E24" i="16"/>
  <c r="E23" i="16"/>
  <c r="E22" i="16"/>
  <c r="E21" i="16"/>
  <c r="E20" i="16"/>
  <c r="E16" i="16"/>
  <c r="E15" i="16"/>
  <c r="E14" i="16"/>
  <c r="E13" i="16"/>
  <c r="E12" i="16"/>
  <c r="E11" i="16"/>
  <c r="E10" i="16"/>
  <c r="E9" i="16"/>
  <c r="E3" i="16"/>
  <c r="Q1" i="16"/>
  <c r="P1" i="16"/>
  <c r="O1" i="16"/>
  <c r="N1" i="16"/>
  <c r="M1" i="16"/>
  <c r="L1" i="16"/>
  <c r="K1" i="16"/>
  <c r="J1" i="16"/>
  <c r="I1" i="16"/>
  <c r="H1" i="16"/>
  <c r="G1" i="16"/>
  <c r="E90" i="16"/>
  <c r="E89" i="16"/>
  <c r="E88" i="16"/>
  <c r="E87" i="16"/>
  <c r="E72" i="16"/>
  <c r="E71" i="16"/>
  <c r="E70" i="16"/>
  <c r="E69" i="16"/>
  <c r="E68" i="16"/>
  <c r="E67" i="16"/>
  <c r="E51" i="16"/>
  <c r="E50" i="16"/>
  <c r="E49" i="16"/>
  <c r="E48" i="16"/>
  <c r="E29" i="16"/>
  <c r="E28" i="16"/>
  <c r="E27" i="16"/>
  <c r="E18" i="16"/>
  <c r="E17" i="16"/>
  <c r="E8" i="16"/>
  <c r="E7" i="16"/>
  <c r="E6" i="16"/>
  <c r="E5" i="16"/>
  <c r="E4" i="16"/>
  <c r="B17" i="12"/>
  <c r="B16" i="12"/>
  <c r="B15" i="12"/>
  <c r="A17" i="12"/>
  <c r="A16" i="12"/>
  <c r="A15" i="12"/>
  <c r="B13" i="12"/>
  <c r="B12" i="12"/>
  <c r="B11" i="12"/>
  <c r="A13" i="12"/>
  <c r="A12" i="12"/>
  <c r="A11" i="12"/>
  <c r="B9" i="12"/>
  <c r="B8" i="12"/>
  <c r="B7" i="12"/>
  <c r="A9" i="12"/>
  <c r="A8" i="12"/>
  <c r="A7" i="12"/>
  <c r="B5" i="12"/>
  <c r="B4" i="12"/>
  <c r="B3" i="12"/>
  <c r="A5" i="12"/>
  <c r="A4" i="12"/>
  <c r="A3" i="12"/>
  <c r="G18" i="12"/>
  <c r="C16" i="12"/>
  <c r="C11" i="12"/>
  <c r="C13" i="12"/>
  <c r="C8" i="12"/>
  <c r="C7" i="12"/>
  <c r="C9" i="12"/>
  <c r="C5" i="12"/>
  <c r="C3" i="12"/>
  <c r="C4" i="12"/>
  <c r="C17" i="12"/>
  <c r="C15" i="12"/>
  <c r="C12" i="12"/>
  <c r="D18" i="12"/>
  <c r="E18" i="12"/>
  <c r="F18" i="12"/>
  <c r="H18" i="12"/>
</calcChain>
</file>

<file path=xl/sharedStrings.xml><?xml version="1.0" encoding="utf-8"?>
<sst xmlns="http://schemas.openxmlformats.org/spreadsheetml/2006/main" count="328" uniqueCount="194">
  <si>
    <t>Nombre de cours par compétence</t>
  </si>
  <si>
    <t>SESSION 1</t>
  </si>
  <si>
    <t>Total des intentions</t>
  </si>
  <si>
    <t>SESSION 2</t>
  </si>
  <si>
    <t>SESSION 3</t>
  </si>
  <si>
    <t>SESSION 4</t>
  </si>
  <si>
    <t>Nombre de compétences par cours</t>
  </si>
  <si>
    <t>1.1.4</t>
  </si>
  <si>
    <t>1.1.1</t>
  </si>
  <si>
    <t>1.1.2</t>
  </si>
  <si>
    <t>1.1.3</t>
  </si>
  <si>
    <t>1.1.5</t>
  </si>
  <si>
    <t>Préciser l'objectif, le contenu et la forme du travail à réaliser.</t>
  </si>
  <si>
    <t>Utiliser les ressources et les services disponibles, notamment ceux de la bibliothèque.</t>
  </si>
  <si>
    <t>Circonscrire le sujet de recherche</t>
  </si>
  <si>
    <t>Sélectionner les types de documents appropriés.</t>
  </si>
  <si>
    <t>Sélectionner les outils de recherche ou de veille appropriés.</t>
  </si>
  <si>
    <t>Appliquer des stratégies de recherche appropriés.</t>
  </si>
  <si>
    <t>1.2.1</t>
  </si>
  <si>
    <t>1.2.2</t>
  </si>
  <si>
    <t>Ajuster les stratégies de recherche en fonction des résultats obtenus.</t>
  </si>
  <si>
    <t>1.2.3</t>
  </si>
  <si>
    <t>Consulter les documents repérés.</t>
  </si>
  <si>
    <t>1.</t>
  </si>
  <si>
    <t>Rechercher l'information</t>
  </si>
  <si>
    <t>1.1</t>
  </si>
  <si>
    <t>Planifier la recherche d'information.</t>
  </si>
  <si>
    <t>1.2</t>
  </si>
  <si>
    <t>Effectuer la recherche d'information.</t>
  </si>
  <si>
    <t>1.3</t>
  </si>
  <si>
    <t>1.3.1</t>
  </si>
  <si>
    <t>Vérifier la validité, la fiabilité et l’actualité de l’information.</t>
  </si>
  <si>
    <t>1.3.2</t>
  </si>
  <si>
    <t>Vérifier la crédibilité, le point de vue et l’objectivité de l’auteur ou de l’éditeur.</t>
  </si>
  <si>
    <t>Évaluer la qualité de l'information trouvée.</t>
  </si>
  <si>
    <t>1.4</t>
  </si>
  <si>
    <t>Organiser les documents conservés.</t>
  </si>
  <si>
    <t>1.4.1</t>
  </si>
  <si>
    <t>1.4.2</t>
  </si>
  <si>
    <t>Conserver les références médiagraphiques.</t>
  </si>
  <si>
    <t>Conserver les documents référencés.</t>
  </si>
  <si>
    <t>2.</t>
  </si>
  <si>
    <t>Traiter l'information</t>
  </si>
  <si>
    <t>2.1</t>
  </si>
  <si>
    <t>Dégager les éléments d’information considérés pertinents.</t>
  </si>
  <si>
    <t>2.1.1</t>
  </si>
  <si>
    <t>Marquer et annoter les documents numériques.</t>
  </si>
  <si>
    <t>2.1.2</t>
  </si>
  <si>
    <t>Consigner des données, des faits, des observations, des concepts ou des réflexions.</t>
  </si>
  <si>
    <t>2.2</t>
  </si>
  <si>
    <t>Analyser l'information</t>
  </si>
  <si>
    <t>2.2.1</t>
  </si>
  <si>
    <t>2.2.2</t>
  </si>
  <si>
    <t>2.3</t>
  </si>
  <si>
    <t>Représenter visuellement l’information.</t>
  </si>
  <si>
    <t>2.3.1</t>
  </si>
  <si>
    <t>2.3.2</t>
  </si>
  <si>
    <t>2.3.3</t>
  </si>
  <si>
    <t>3.</t>
  </si>
  <si>
    <t>Présenter l'information</t>
  </si>
  <si>
    <t>3.1</t>
  </si>
  <si>
    <t>3.1.1</t>
  </si>
  <si>
    <t>3.1.2</t>
  </si>
  <si>
    <t>3.1.3</t>
  </si>
  <si>
    <t>3.2</t>
  </si>
  <si>
    <t>3.2.1</t>
  </si>
  <si>
    <t>3.2.2</t>
  </si>
  <si>
    <t>3.2.3</t>
  </si>
  <si>
    <t>3.2.4</t>
  </si>
  <si>
    <t>3.2.5</t>
  </si>
  <si>
    <t>3.2.6</t>
  </si>
  <si>
    <t>3.2.7</t>
  </si>
  <si>
    <t>3.3</t>
  </si>
  <si>
    <t>3.3.1</t>
  </si>
  <si>
    <t>3.3.2</t>
  </si>
  <si>
    <t>3.3.3</t>
  </si>
  <si>
    <t>3.4</t>
  </si>
  <si>
    <t>3.4.1</t>
  </si>
  <si>
    <t>3.4.2</t>
  </si>
  <si>
    <t>3.4.3</t>
  </si>
  <si>
    <t>3.4.4</t>
  </si>
  <si>
    <t>4.</t>
  </si>
  <si>
    <t>Travailler en réseau</t>
  </si>
  <si>
    <t>4.1</t>
  </si>
  <si>
    <t>4.1.1</t>
  </si>
  <si>
    <t>4.1.2</t>
  </si>
  <si>
    <t>4.1.3</t>
  </si>
  <si>
    <t>4.1.4</t>
  </si>
  <si>
    <t>4.1.5</t>
  </si>
  <si>
    <t>4.1.6</t>
  </si>
  <si>
    <t>4.2</t>
  </si>
  <si>
    <t>4.2.1</t>
  </si>
  <si>
    <t>4.2.2</t>
  </si>
  <si>
    <t>4.2.3</t>
  </si>
  <si>
    <t>4.2.4</t>
  </si>
  <si>
    <t>4.2.5</t>
  </si>
  <si>
    <t>4.3</t>
  </si>
  <si>
    <t>4.3.1</t>
  </si>
  <si>
    <t>4.3.2</t>
  </si>
  <si>
    <t>4.3.3</t>
  </si>
  <si>
    <t>4.3.4</t>
  </si>
  <si>
    <t>4.3.5</t>
  </si>
  <si>
    <t>4.3.6</t>
  </si>
  <si>
    <t>5.</t>
  </si>
  <si>
    <t>Exploiter les TIC de manière efficace et responsable</t>
  </si>
  <si>
    <t>5.1</t>
  </si>
  <si>
    <t>5.1.1</t>
  </si>
  <si>
    <t>5.1.2</t>
  </si>
  <si>
    <t>5.1.3</t>
  </si>
  <si>
    <t>5.1.4</t>
  </si>
  <si>
    <t>5.2</t>
  </si>
  <si>
    <t>5.2.1</t>
  </si>
  <si>
    <t>5.2.2</t>
  </si>
  <si>
    <t>5.2.3</t>
  </si>
  <si>
    <t>5.3</t>
  </si>
  <si>
    <t>5.3.1</t>
  </si>
  <si>
    <t>5.3.2</t>
  </si>
  <si>
    <t>5.4</t>
  </si>
  <si>
    <t>5.4.1</t>
  </si>
  <si>
    <t>5.4.2</t>
  </si>
  <si>
    <t>5.4.3</t>
  </si>
  <si>
    <t>5.4.4</t>
  </si>
  <si>
    <t>Sélectionner le type d’analyse et l’outil appropriés à son domaine d’études.</t>
  </si>
  <si>
    <t>Effectuer l’analyse de l’information.</t>
  </si>
  <si>
    <t>Agencer les éléments d’information à représenter.</t>
  </si>
  <si>
    <t>Sélectionner le type de représentation et l’outil appropriés.</t>
  </si>
  <si>
    <t>Effectuer la représentation visuelle de l’information.</t>
  </si>
  <si>
    <t>Planifier la présentation de l’information.</t>
  </si>
  <si>
    <t>Sélectionner le type de présentation et l’outil appropriés.</t>
  </si>
  <si>
    <t>Prévoir les aspects logistiques et techniques de la présentation.</t>
  </si>
  <si>
    <t>Créer le plan de la production.</t>
  </si>
  <si>
    <t>Réaliser la production.</t>
  </si>
  <si>
    <t>Appliquer les bonnes pratiques propres au type de présentation.</t>
  </si>
  <si>
    <t>Rédiger les contenus.</t>
  </si>
  <si>
    <t>Produire ou adapter des contenus audio ou visuels.</t>
  </si>
  <si>
    <t>Intégrer les contenus à la production.</t>
  </si>
  <si>
    <t>Citer ses sources conformément aux normes exigées.</t>
  </si>
  <si>
    <t>Produire une médiagraphie dans les règles.</t>
  </si>
  <si>
    <t>Améliorer la qualité de la langue en recourant aux outils d’aide à la rédaction.</t>
  </si>
  <si>
    <t>Mettre en valeur la production.</t>
  </si>
  <si>
    <t>Utiliser les modèles et les styles proposés par l’outil de présentation.</t>
  </si>
  <si>
    <t>Améliorer la lisibilité et le repérage des contenus.</t>
  </si>
  <si>
    <t>Dynamiser la production à partir des fonctions offertes par l’outil de présentation.</t>
  </si>
  <si>
    <t>Transmettre l’information.</t>
  </si>
  <si>
    <t>Convertir ou imprimer la production au format approprié.</t>
  </si>
  <si>
    <t>Rendre la production accessible en vue de sa remise ou de sa diffusion.</t>
  </si>
  <si>
    <t>Effectuer une présentation à l’aide d’un support numérique.</t>
  </si>
  <si>
    <t>Archiver la production.</t>
  </si>
  <si>
    <t>Communiquer à distance.</t>
  </si>
  <si>
    <t>Définir les objectifs et le contexte de la communication à distance.</t>
  </si>
  <si>
    <t>Sélectionner l’outil de communication approprié.</t>
  </si>
  <si>
    <t>Prévoir les aspects logistiques et techniques de la communication.</t>
  </si>
  <si>
    <t>Établir la communication.</t>
  </si>
  <si>
    <t>Appliquer les bonnes pratiques en matière de communication virtuelle.</t>
  </si>
  <si>
    <t>Effectuer le suivi de ses communications.</t>
  </si>
  <si>
    <t>Partager des contenus.</t>
  </si>
  <si>
    <t>Définir les objectifs et le contexte du partage de contenus.</t>
  </si>
  <si>
    <t>Sélectionner l’outil de partage approprié.</t>
  </si>
  <si>
    <t>Prévoir les aspects techniques du partage.</t>
  </si>
  <si>
    <t>Effectuer le partage de fichiers ou de contenus Web.</t>
  </si>
  <si>
    <t>Appliquer les bonnes pratiques en matière de partage de contenus.</t>
  </si>
  <si>
    <t>Collaborer en réseau.</t>
  </si>
  <si>
    <t>Définir les objectifs et le contexte de la collaboration en réseau.</t>
  </si>
  <si>
    <t>Sélectionner l’environnement collaboratif approprié.</t>
  </si>
  <si>
    <t>Prévoir les aspects organisationnels et techniques de la collaboration.</t>
  </si>
  <si>
    <t>Contribuer à la réalisation du projet.</t>
  </si>
  <si>
    <t>Appliquer les bonnes pratiques en matière de collaboration en réseau.</t>
  </si>
  <si>
    <t>Conserver le résultat du travail collaboratif.</t>
  </si>
  <si>
    <t>Maîtriser son environnement de travail.</t>
  </si>
  <si>
    <t>Utiliser la base des outils technologiques jugés essentiels dès son entrée au collégial.</t>
  </si>
  <si>
    <t>Utiliser l’environnement technologique de son établissement.</t>
  </si>
  <si>
    <t>Gérer ses fichiers numériques.</t>
  </si>
  <si>
    <t>Adopter de saines habitudes de travail dans son utilisation des technologies.</t>
  </si>
  <si>
    <t>Apprendre de façon autonome.</t>
  </si>
  <si>
    <t>Organiser son temps et ses tâches.</t>
  </si>
  <si>
    <t>Explorer une nouvelle application.</t>
  </si>
  <si>
    <t>Exploiter des ressources en ligne pour apprendre.</t>
  </si>
  <si>
    <t>Veiller à la sécurité de l’information numérique.</t>
  </si>
  <si>
    <t>Protéger son identité numérique.</t>
  </si>
  <si>
    <t>Sécuriser des contenus numériques.</t>
  </si>
  <si>
    <t>Agir de manière éthique et citoyenne.</t>
  </si>
  <si>
    <t>Se conformer aux droits liés à la propriété intellectuelle.</t>
  </si>
  <si>
    <t>Appliquer les conditions d’utilisation de l’information et des contenus.</t>
  </si>
  <si>
    <t>Préserver sa cyberréputation et celle des autres.</t>
  </si>
  <si>
    <t>Suivre les règles relatives à l’utilisation des technologies dans son milieu.</t>
  </si>
  <si>
    <t>Le pouvoir des communications</t>
  </si>
  <si>
    <t>Culture générale</t>
  </si>
  <si>
    <t>Rigueur méthodologique</t>
  </si>
  <si>
    <t>Créativité</t>
  </si>
  <si>
    <t>Communication</t>
  </si>
  <si>
    <t>Autonomie et sens civique</t>
  </si>
  <si>
    <t>Explication d'utilisation du tableau</t>
  </si>
  <si>
    <t>X</t>
  </si>
  <si>
    <t xml:space="preserve"> Nombre de cours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</si>
</sst>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0"/>
      <name val="Geneva"/>
    </font>
    <font>
      <u/>
      <sz val="10"/>
      <color indexed="12"/>
      <name val="Geneva"/>
    </font>
    <font>
      <sz val="8"/>
      <name val="Geneva"/>
    </font>
    <font>
      <sz val="10"/>
      <name val="Gill Sans MT"/>
      <family val="2"/>
    </font>
    <font>
      <b/>
      <sz val="10"/>
      <name val="Gill Sans MT"/>
      <family val="2"/>
    </font>
    <font>
      <b/>
      <sz val="9"/>
      <name val="Gill Sans MT"/>
      <family val="2"/>
    </font>
    <font>
      <sz val="10"/>
      <color indexed="8"/>
      <name val="Gill Sans MT"/>
      <family val="2"/>
    </font>
    <font>
      <b/>
      <sz val="10"/>
      <color indexed="8"/>
      <name val="Gill Sans MT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Gill Sans MT"/>
      <family val="2"/>
    </font>
    <font>
      <sz val="9"/>
      <name val="Gill Sans MT"/>
      <family val="2"/>
    </font>
    <font>
      <b/>
      <sz val="10"/>
      <color indexed="8"/>
      <name val="Calibri"/>
      <family val="2"/>
      <scheme val="minor"/>
    </font>
    <font>
      <b/>
      <sz val="12"/>
      <name val="Wingdings 2"/>
      <family val="1"/>
      <charset val="2"/>
    </font>
    <font>
      <b/>
      <sz val="10"/>
      <name val="Geneva"/>
    </font>
  </fonts>
  <fills count="3">
    <fill>
      <patternFill patternType="none"/>
    </fill>
    <fill>
      <patternFill patternType="gray125"/>
    </fill>
    <fill>
      <patternFill patternType="solid">
        <fgColor rgb="FFB3B1A7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hair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hair">
        <color indexed="8"/>
      </right>
      <top/>
      <bottom style="thin">
        <color indexed="8"/>
      </bottom>
      <diagonal/>
    </border>
    <border>
      <left/>
      <right style="hair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</cellStyleXfs>
  <cellXfs count="151">
    <xf numFmtId="0" fontId="0" fillId="0" borderId="0" xfId="0"/>
    <xf numFmtId="0" fontId="0" fillId="0" borderId="0" xfId="0" applyBorder="1" applyAlignment="1">
      <alignment horizontal="center" textRotation="90" wrapText="1"/>
    </xf>
    <xf numFmtId="0" fontId="0" fillId="0" borderId="0" xfId="0" applyAlignment="1"/>
    <xf numFmtId="0" fontId="0" fillId="0" borderId="0" xfId="0" quotePrefix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vertical="center"/>
    </xf>
    <xf numFmtId="0" fontId="9" fillId="0" borderId="0" xfId="0" applyFont="1" applyBorder="1" applyAlignment="1">
      <alignment vertical="center" wrapText="1"/>
    </xf>
    <xf numFmtId="0" fontId="10" fillId="0" borderId="1" xfId="0" quotePrefix="1" applyNumberFormat="1" applyFont="1" applyBorder="1" applyAlignment="1">
      <alignment horizontal="center"/>
    </xf>
    <xf numFmtId="0" fontId="9" fillId="0" borderId="0" xfId="0" applyFont="1" applyBorder="1"/>
    <xf numFmtId="0" fontId="10" fillId="0" borderId="1" xfId="0" applyNumberFormat="1" applyFont="1" applyBorder="1" applyAlignment="1">
      <alignment horizontal="center"/>
    </xf>
    <xf numFmtId="0" fontId="10" fillId="0" borderId="0" xfId="0" applyFont="1" applyBorder="1"/>
    <xf numFmtId="0" fontId="9" fillId="0" borderId="0" xfId="0" applyFont="1" applyBorder="1" applyAlignment="1">
      <alignment horizontal="center"/>
    </xf>
    <xf numFmtId="0" fontId="1" fillId="0" borderId="0" xfId="1" applyBorder="1" applyAlignment="1" applyProtection="1">
      <alignment vertical="center" wrapText="1"/>
    </xf>
    <xf numFmtId="0" fontId="9" fillId="0" borderId="0" xfId="0" applyFont="1" applyFill="1" applyBorder="1" applyAlignment="1">
      <alignment horizontal="left" vertical="center"/>
    </xf>
    <xf numFmtId="0" fontId="9" fillId="0" borderId="0" xfId="0" applyFont="1" applyFill="1" applyBorder="1"/>
    <xf numFmtId="0" fontId="9" fillId="0" borderId="0" xfId="0" applyNumberFormat="1" applyFont="1" applyFill="1" applyBorder="1" applyAlignment="1"/>
    <xf numFmtId="0" fontId="9" fillId="0" borderId="0" xfId="0" applyNumberFormat="1" applyFont="1" applyFill="1" applyBorder="1" applyAlignment="1">
      <alignment horizontal="left" vertical="center"/>
    </xf>
    <xf numFmtId="0" fontId="11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/>
    <xf numFmtId="0" fontId="9" fillId="0" borderId="0" xfId="0" applyFont="1" applyFill="1"/>
    <xf numFmtId="0" fontId="9" fillId="0" borderId="0" xfId="0" applyFont="1" applyFill="1" applyAlignment="1">
      <alignment horizontal="left" vertical="center"/>
    </xf>
    <xf numFmtId="0" fontId="3" fillId="0" borderId="0" xfId="0" applyFont="1"/>
    <xf numFmtId="0" fontId="4" fillId="0" borderId="0" xfId="0" applyFont="1"/>
    <xf numFmtId="0" fontId="12" fillId="0" borderId="0" xfId="0" applyFont="1"/>
    <xf numFmtId="0" fontId="14" fillId="0" borderId="0" xfId="0" applyFont="1"/>
    <xf numFmtId="0" fontId="10" fillId="0" borderId="5" xfId="0" applyNumberFormat="1" applyFont="1" applyBorder="1" applyAlignment="1">
      <alignment horizontal="center"/>
    </xf>
    <xf numFmtId="0" fontId="13" fillId="0" borderId="8" xfId="0" applyNumberFormat="1" applyFont="1" applyFill="1" applyBorder="1" applyAlignment="1">
      <alignment horizontal="left" wrapText="1"/>
    </xf>
    <xf numFmtId="0" fontId="13" fillId="0" borderId="9" xfId="0" quotePrefix="1" applyFont="1" applyFill="1" applyBorder="1" applyAlignment="1">
      <alignment horizontal="center" wrapText="1"/>
    </xf>
    <xf numFmtId="0" fontId="3" fillId="0" borderId="0" xfId="0" applyFont="1" applyAlignment="1"/>
    <xf numFmtId="0" fontId="12" fillId="0" borderId="0" xfId="0" applyFont="1" applyAlignment="1"/>
    <xf numFmtId="0" fontId="14" fillId="0" borderId="3" xfId="0" quotePrefix="1" applyNumberFormat="1" applyFont="1" applyBorder="1" applyAlignment="1">
      <alignment horizontal="center"/>
    </xf>
    <xf numFmtId="0" fontId="12" fillId="0" borderId="3" xfId="0" quotePrefix="1" applyNumberFormat="1" applyFont="1" applyBorder="1" applyAlignment="1">
      <alignment horizontal="center" wrapText="1"/>
    </xf>
    <xf numFmtId="0" fontId="12" fillId="0" borderId="3" xfId="0" quotePrefix="1" applyNumberFormat="1" applyFont="1" applyBorder="1" applyAlignment="1">
      <alignment horizontal="center"/>
    </xf>
    <xf numFmtId="0" fontId="0" fillId="0" borderId="0" xfId="0" applyFont="1"/>
    <xf numFmtId="0" fontId="4" fillId="0" borderId="3" xfId="0" quotePrefix="1" applyNumberFormat="1" applyFont="1" applyBorder="1" applyAlignment="1">
      <alignment horizontal="center"/>
    </xf>
    <xf numFmtId="0" fontId="3" fillId="0" borderId="3" xfId="0" quotePrefix="1" applyNumberFormat="1" applyFont="1" applyBorder="1" applyAlignment="1">
      <alignment horizontal="center" wrapText="1"/>
    </xf>
    <xf numFmtId="0" fontId="3" fillId="0" borderId="3" xfId="0" quotePrefix="1" applyNumberFormat="1" applyFont="1" applyBorder="1" applyAlignment="1">
      <alignment horizontal="center"/>
    </xf>
    <xf numFmtId="0" fontId="9" fillId="0" borderId="10" xfId="0" applyFont="1" applyFill="1" applyBorder="1"/>
    <xf numFmtId="0" fontId="12" fillId="0" borderId="4" xfId="0" applyNumberFormat="1" applyFont="1" applyFill="1" applyBorder="1" applyAlignment="1">
      <alignment vertical="center"/>
    </xf>
    <xf numFmtId="0" fontId="12" fillId="0" borderId="13" xfId="0" applyNumberFormat="1" applyFont="1" applyFill="1" applyBorder="1" applyAlignment="1">
      <alignment vertical="center"/>
    </xf>
    <xf numFmtId="0" fontId="12" fillId="0" borderId="14" xfId="0" applyNumberFormat="1" applyFont="1" applyFill="1" applyBorder="1" applyAlignment="1"/>
    <xf numFmtId="0" fontId="12" fillId="0" borderId="14" xfId="0" applyNumberFormat="1" applyFont="1" applyFill="1" applyBorder="1" applyAlignment="1">
      <alignment vertical="center"/>
    </xf>
    <xf numFmtId="0" fontId="10" fillId="0" borderId="5" xfId="0" quotePrefix="1" applyNumberFormat="1" applyFont="1" applyBorder="1" applyAlignment="1">
      <alignment horizontal="center"/>
    </xf>
    <xf numFmtId="0" fontId="12" fillId="0" borderId="16" xfId="0" applyNumberFormat="1" applyFont="1" applyFill="1" applyBorder="1" applyAlignment="1">
      <alignment vertical="center"/>
    </xf>
    <xf numFmtId="0" fontId="13" fillId="0" borderId="16" xfId="0" applyFont="1" applyFill="1" applyBorder="1" applyAlignment="1">
      <alignment vertical="center" wrapText="1"/>
    </xf>
    <xf numFmtId="0" fontId="13" fillId="0" borderId="17" xfId="0" applyFont="1" applyFill="1" applyBorder="1" applyAlignment="1">
      <alignment vertical="center" wrapText="1"/>
    </xf>
    <xf numFmtId="0" fontId="12" fillId="0" borderId="17" xfId="0" quotePrefix="1" applyNumberFormat="1" applyFont="1" applyBorder="1" applyAlignment="1">
      <alignment horizontal="center"/>
    </xf>
    <xf numFmtId="0" fontId="12" fillId="0" borderId="17" xfId="0" applyNumberFormat="1" applyFont="1" applyBorder="1" applyAlignment="1">
      <alignment horizontal="center"/>
    </xf>
    <xf numFmtId="0" fontId="12" fillId="0" borderId="18" xfId="0" applyNumberFormat="1" applyFont="1" applyBorder="1" applyAlignment="1">
      <alignment horizontal="center"/>
    </xf>
    <xf numFmtId="0" fontId="12" fillId="0" borderId="17" xfId="0" applyNumberFormat="1" applyFont="1" applyFill="1" applyBorder="1" applyAlignment="1">
      <alignment vertical="center" wrapText="1"/>
    </xf>
    <xf numFmtId="0" fontId="12" fillId="0" borderId="18" xfId="0" quotePrefix="1" applyNumberFormat="1" applyFont="1" applyBorder="1" applyAlignment="1">
      <alignment horizontal="center"/>
    </xf>
    <xf numFmtId="0" fontId="12" fillId="0" borderId="17" xfId="0" applyFont="1" applyFill="1" applyBorder="1" applyAlignment="1">
      <alignment vertical="center" wrapText="1"/>
    </xf>
    <xf numFmtId="0" fontId="12" fillId="0" borderId="16" xfId="0" applyFont="1" applyFill="1" applyBorder="1" applyAlignment="1">
      <alignment vertical="center" wrapText="1"/>
    </xf>
    <xf numFmtId="0" fontId="12" fillId="0" borderId="19" xfId="0" applyFont="1" applyFill="1" applyBorder="1" applyAlignment="1">
      <alignment vertical="center" wrapText="1"/>
    </xf>
    <xf numFmtId="0" fontId="12" fillId="0" borderId="19" xfId="0" quotePrefix="1" applyNumberFormat="1" applyFont="1" applyBorder="1" applyAlignment="1">
      <alignment horizontal="center"/>
    </xf>
    <xf numFmtId="0" fontId="12" fillId="0" borderId="19" xfId="0" applyNumberFormat="1" applyFont="1" applyBorder="1" applyAlignment="1">
      <alignment horizontal="center"/>
    </xf>
    <xf numFmtId="0" fontId="12" fillId="0" borderId="20" xfId="0" applyNumberFormat="1" applyFont="1" applyBorder="1" applyAlignment="1">
      <alignment horizontal="center"/>
    </xf>
    <xf numFmtId="0" fontId="12" fillId="0" borderId="21" xfId="0" applyFont="1" applyFill="1" applyBorder="1" applyAlignment="1">
      <alignment horizontal="left" vertical="center"/>
    </xf>
    <xf numFmtId="0" fontId="12" fillId="0" borderId="22" xfId="0" applyFont="1" applyFill="1" applyBorder="1" applyAlignment="1">
      <alignment horizontal="left" vertical="center"/>
    </xf>
    <xf numFmtId="0" fontId="12" fillId="0" borderId="23" xfId="0" applyFont="1" applyFill="1" applyBorder="1" applyAlignment="1">
      <alignment horizontal="left" vertical="center"/>
    </xf>
    <xf numFmtId="0" fontId="12" fillId="0" borderId="22" xfId="0" applyNumberFormat="1" applyFont="1" applyFill="1" applyBorder="1" applyAlignment="1">
      <alignment horizontal="left" vertical="center"/>
    </xf>
    <xf numFmtId="0" fontId="12" fillId="0" borderId="21" xfId="0" applyNumberFormat="1" applyFont="1" applyFill="1" applyBorder="1" applyAlignment="1">
      <alignment horizontal="left" vertical="center"/>
    </xf>
    <xf numFmtId="0" fontId="12" fillId="0" borderId="27" xfId="0" applyNumberFormat="1" applyFont="1" applyFill="1" applyBorder="1" applyAlignment="1">
      <alignment vertical="center"/>
    </xf>
    <xf numFmtId="0" fontId="12" fillId="0" borderId="3" xfId="0" applyFont="1" applyFill="1" applyBorder="1"/>
    <xf numFmtId="0" fontId="12" fillId="0" borderId="3" xfId="0" applyNumberFormat="1" applyFont="1" applyFill="1" applyBorder="1" applyAlignment="1">
      <alignment vertical="center"/>
    </xf>
    <xf numFmtId="0" fontId="12" fillId="0" borderId="14" xfId="0" applyFont="1" applyFill="1" applyBorder="1" applyAlignment="1"/>
    <xf numFmtId="0" fontId="12" fillId="0" borderId="14" xfId="0" applyFont="1" applyFill="1" applyBorder="1"/>
    <xf numFmtId="0" fontId="12" fillId="0" borderId="16" xfId="0" quotePrefix="1" applyNumberFormat="1" applyFont="1" applyBorder="1" applyAlignment="1">
      <alignment horizontal="center"/>
    </xf>
    <xf numFmtId="0" fontId="12" fillId="0" borderId="15" xfId="0" quotePrefix="1" applyNumberFormat="1" applyFont="1" applyBorder="1" applyAlignment="1">
      <alignment horizontal="center"/>
    </xf>
    <xf numFmtId="0" fontId="10" fillId="0" borderId="11" xfId="0" quotePrefix="1" applyNumberFormat="1" applyFont="1" applyBorder="1" applyAlignment="1">
      <alignment horizontal="center"/>
    </xf>
    <xf numFmtId="0" fontId="10" fillId="0" borderId="11" xfId="0" applyNumberFormat="1" applyFont="1" applyBorder="1" applyAlignment="1">
      <alignment horizontal="center"/>
    </xf>
    <xf numFmtId="0" fontId="12" fillId="0" borderId="16" xfId="0" applyNumberFormat="1" applyFont="1" applyBorder="1" applyAlignment="1">
      <alignment horizontal="center"/>
    </xf>
    <xf numFmtId="0" fontId="12" fillId="0" borderId="15" xfId="0" applyNumberFormat="1" applyFont="1" applyBorder="1" applyAlignment="1">
      <alignment horizontal="center"/>
    </xf>
    <xf numFmtId="0" fontId="4" fillId="2" borderId="1" xfId="0" quotePrefix="1" applyNumberFormat="1" applyFont="1" applyFill="1" applyBorder="1" applyAlignment="1">
      <alignment horizontal="center" textRotation="90" wrapText="1"/>
    </xf>
    <xf numFmtId="0" fontId="4" fillId="2" borderId="1" xfId="0" applyNumberFormat="1" applyFont="1" applyFill="1" applyBorder="1" applyAlignment="1">
      <alignment horizontal="center" textRotation="90" wrapText="1"/>
    </xf>
    <xf numFmtId="0" fontId="3" fillId="0" borderId="31" xfId="0" quotePrefix="1" applyNumberFormat="1" applyFont="1" applyBorder="1" applyAlignment="1">
      <alignment horizontal="center"/>
    </xf>
    <xf numFmtId="0" fontId="12" fillId="0" borderId="31" xfId="0" quotePrefix="1" applyNumberFormat="1" applyFont="1" applyBorder="1" applyAlignment="1">
      <alignment horizontal="center"/>
    </xf>
    <xf numFmtId="0" fontId="14" fillId="0" borderId="2" xfId="0" applyFont="1" applyBorder="1"/>
    <xf numFmtId="0" fontId="14" fillId="0" borderId="31" xfId="0" applyFont="1" applyBorder="1"/>
    <xf numFmtId="0" fontId="14" fillId="0" borderId="1" xfId="0" applyFont="1" applyBorder="1"/>
    <xf numFmtId="0" fontId="14" fillId="0" borderId="1" xfId="0" applyFont="1" applyBorder="1" applyAlignment="1">
      <alignment horizontal="center"/>
    </xf>
    <xf numFmtId="0" fontId="16" fillId="0" borderId="0" xfId="0" applyFont="1" applyBorder="1" applyAlignment="1">
      <alignment textRotation="90"/>
    </xf>
    <xf numFmtId="0" fontId="16" fillId="0" borderId="0" xfId="0" applyFont="1" applyBorder="1" applyAlignment="1">
      <alignment horizontal="left" vertical="center" textRotation="90"/>
    </xf>
    <xf numFmtId="0" fontId="16" fillId="0" borderId="0" xfId="0" applyFont="1" applyBorder="1" applyAlignment="1">
      <alignment vertical="center" textRotation="90" wrapText="1"/>
    </xf>
    <xf numFmtId="0" fontId="12" fillId="0" borderId="24" xfId="0" applyFont="1" applyFill="1" applyBorder="1"/>
    <xf numFmtId="0" fontId="12" fillId="0" borderId="0" xfId="0" applyFont="1" applyBorder="1"/>
    <xf numFmtId="0" fontId="12" fillId="0" borderId="25" xfId="0" applyFont="1" applyFill="1" applyBorder="1"/>
    <xf numFmtId="0" fontId="12" fillId="0" borderId="26" xfId="0" applyFont="1" applyFill="1" applyBorder="1"/>
    <xf numFmtId="0" fontId="12" fillId="0" borderId="12" xfId="0" applyFont="1" applyFill="1" applyBorder="1"/>
    <xf numFmtId="0" fontId="12" fillId="0" borderId="2" xfId="0" applyFont="1" applyFill="1" applyBorder="1"/>
    <xf numFmtId="0" fontId="4" fillId="2" borderId="29" xfId="0" applyFont="1" applyFill="1" applyBorder="1" applyAlignment="1">
      <alignment horizontal="left"/>
    </xf>
    <xf numFmtId="0" fontId="4" fillId="2" borderId="30" xfId="0" applyNumberFormat="1" applyFont="1" applyFill="1" applyBorder="1" applyAlignment="1">
      <alignment horizontal="left" vertical="center"/>
    </xf>
    <xf numFmtId="0" fontId="3" fillId="2" borderId="30" xfId="0" applyFont="1" applyFill="1" applyBorder="1" applyAlignment="1">
      <alignment horizontal="left" vertical="center"/>
    </xf>
    <xf numFmtId="0" fontId="3" fillId="2" borderId="30" xfId="0" applyNumberFormat="1" applyFont="1" applyFill="1" applyBorder="1" applyAlignment="1">
      <alignment vertical="center" wrapText="1"/>
    </xf>
    <xf numFmtId="0" fontId="4" fillId="2" borderId="14" xfId="0" quotePrefix="1" applyNumberFormat="1" applyFont="1" applyFill="1" applyBorder="1" applyAlignment="1">
      <alignment horizontal="center"/>
    </xf>
    <xf numFmtId="0" fontId="3" fillId="2" borderId="14" xfId="0" quotePrefix="1" applyNumberFormat="1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0" borderId="0" xfId="0" applyFont="1" applyBorder="1"/>
    <xf numFmtId="0" fontId="4" fillId="2" borderId="25" xfId="0" applyFont="1" applyFill="1" applyBorder="1" applyAlignment="1">
      <alignment horizontal="left"/>
    </xf>
    <xf numFmtId="0" fontId="4" fillId="2" borderId="14" xfId="0" applyNumberFormat="1" applyFont="1" applyFill="1" applyBorder="1" applyAlignment="1">
      <alignment horizontal="left" vertical="center"/>
    </xf>
    <xf numFmtId="0" fontId="3" fillId="2" borderId="14" xfId="0" applyFont="1" applyFill="1" applyBorder="1" applyAlignment="1">
      <alignment horizontal="left" vertical="center"/>
    </xf>
    <xf numFmtId="0" fontId="3" fillId="2" borderId="14" xfId="0" applyNumberFormat="1" applyFont="1" applyFill="1" applyBorder="1" applyAlignment="1">
      <alignment vertical="center" wrapText="1"/>
    </xf>
    <xf numFmtId="0" fontId="3" fillId="0" borderId="11" xfId="0" quotePrefix="1" applyNumberFormat="1" applyFont="1" applyFill="1" applyBorder="1" applyAlignment="1">
      <alignment horizontal="center" textRotation="90" wrapText="1"/>
    </xf>
    <xf numFmtId="0" fontId="17" fillId="0" borderId="7" xfId="0" applyFont="1" applyFill="1" applyBorder="1" applyAlignment="1">
      <alignment horizontal="center" wrapText="1"/>
    </xf>
    <xf numFmtId="0" fontId="18" fillId="0" borderId="0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horizontal="center" textRotation="90" wrapText="1"/>
    </xf>
    <xf numFmtId="0" fontId="0" fillId="0" borderId="0" xfId="0" applyAlignment="1">
      <alignment horizontal="left" vertical="top"/>
    </xf>
    <xf numFmtId="0" fontId="0" fillId="0" borderId="0" xfId="0" applyBorder="1" applyAlignment="1">
      <alignment horizontal="left" textRotation="90" wrapText="1"/>
    </xf>
    <xf numFmtId="0" fontId="16" fillId="0" borderId="0" xfId="0" applyFont="1" applyAlignment="1"/>
    <xf numFmtId="0" fontId="3" fillId="0" borderId="0" xfId="0" applyFont="1" applyAlignment="1">
      <alignment vertical="center"/>
    </xf>
    <xf numFmtId="0" fontId="12" fillId="0" borderId="34" xfId="0" quotePrefix="1" applyNumberFormat="1" applyFont="1" applyBorder="1" applyAlignment="1">
      <alignment horizontal="center"/>
    </xf>
    <xf numFmtId="0" fontId="12" fillId="0" borderId="34" xfId="0" applyFont="1" applyBorder="1" applyAlignment="1">
      <alignment horizontal="center"/>
    </xf>
    <xf numFmtId="0" fontId="12" fillId="0" borderId="35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2" fillId="0" borderId="35" xfId="0" quotePrefix="1" applyNumberFormat="1" applyFont="1" applyBorder="1" applyAlignment="1">
      <alignment horizontal="center"/>
    </xf>
    <xf numFmtId="0" fontId="12" fillId="0" borderId="20" xfId="0" quotePrefix="1" applyNumberFormat="1" applyFont="1" applyBorder="1" applyAlignment="1">
      <alignment horizontal="center"/>
    </xf>
    <xf numFmtId="0" fontId="4" fillId="0" borderId="2" xfId="0" applyNumberFormat="1" applyFont="1" applyBorder="1" applyAlignment="1"/>
    <xf numFmtId="0" fontId="4" fillId="0" borderId="3" xfId="0" applyNumberFormat="1" applyFont="1" applyBorder="1" applyAlignment="1"/>
    <xf numFmtId="0" fontId="12" fillId="0" borderId="29" xfId="0" applyNumberFormat="1" applyFont="1" applyBorder="1" applyAlignment="1">
      <alignment horizontal="center"/>
    </xf>
    <xf numFmtId="0" fontId="13" fillId="0" borderId="36" xfId="0" applyFont="1" applyFill="1" applyBorder="1" applyAlignment="1">
      <alignment horizontal="left" wrapText="1"/>
    </xf>
    <xf numFmtId="0" fontId="12" fillId="0" borderId="25" xfId="0" applyNumberFormat="1" applyFont="1" applyBorder="1" applyAlignment="1">
      <alignment horizontal="center"/>
    </xf>
    <xf numFmtId="0" fontId="13" fillId="0" borderId="22" xfId="0" applyFont="1" applyFill="1" applyBorder="1" applyAlignment="1">
      <alignment horizontal="left" wrapText="1"/>
    </xf>
    <xf numFmtId="0" fontId="12" fillId="0" borderId="37" xfId="0" applyNumberFormat="1" applyFont="1" applyBorder="1" applyAlignment="1">
      <alignment horizontal="center"/>
    </xf>
    <xf numFmtId="0" fontId="13" fillId="0" borderId="23" xfId="0" applyFont="1" applyFill="1" applyBorder="1" applyAlignment="1">
      <alignment horizontal="left" wrapText="1"/>
    </xf>
    <xf numFmtId="0" fontId="4" fillId="0" borderId="4" xfId="0" applyNumberFormat="1" applyFont="1" applyFill="1" applyBorder="1" applyAlignment="1">
      <alignment vertical="center" wrapText="1"/>
    </xf>
    <xf numFmtId="0" fontId="4" fillId="0" borderId="38" xfId="0" applyNumberFormat="1" applyFont="1" applyFill="1" applyBorder="1" applyAlignment="1">
      <alignment vertical="center" wrapText="1"/>
    </xf>
    <xf numFmtId="0" fontId="5" fillId="0" borderId="0" xfId="0" applyFont="1" applyFill="1" applyBorder="1" applyAlignment="1">
      <alignment horizontal="right" wrapText="1"/>
    </xf>
    <xf numFmtId="0" fontId="7" fillId="0" borderId="39" xfId="0" applyFont="1" applyFill="1" applyBorder="1" applyAlignment="1">
      <alignment horizontal="center" vertical="center" wrapText="1"/>
    </xf>
    <xf numFmtId="0" fontId="6" fillId="0" borderId="40" xfId="0" applyFont="1" applyFill="1" applyBorder="1" applyAlignment="1">
      <alignment horizontal="center" vertical="center" wrapText="1"/>
    </xf>
    <xf numFmtId="0" fontId="16" fillId="2" borderId="41" xfId="0" applyFont="1" applyFill="1" applyBorder="1" applyAlignment="1">
      <alignment horizontal="center" textRotation="90" wrapText="1"/>
    </xf>
    <xf numFmtId="0" fontId="16" fillId="2" borderId="40" xfId="0" applyFont="1" applyFill="1" applyBorder="1" applyAlignment="1">
      <alignment horizontal="center" textRotation="90" wrapText="1"/>
    </xf>
    <xf numFmtId="0" fontId="5" fillId="0" borderId="0" xfId="0" applyFont="1" applyFill="1" applyBorder="1" applyAlignment="1">
      <alignment wrapText="1"/>
    </xf>
    <xf numFmtId="0" fontId="7" fillId="0" borderId="42" xfId="0" applyNumberFormat="1" applyFont="1" applyFill="1" applyBorder="1" applyAlignment="1">
      <alignment horizontal="left" vertical="center" wrapText="1"/>
    </xf>
    <xf numFmtId="0" fontId="7" fillId="0" borderId="43" xfId="0" applyNumberFormat="1" applyFont="1" applyFill="1" applyBorder="1" applyAlignment="1">
      <alignment horizontal="left" vertical="center" wrapText="1"/>
    </xf>
    <xf numFmtId="0" fontId="13" fillId="0" borderId="42" xfId="0" applyNumberFormat="1" applyFont="1" applyFill="1" applyBorder="1" applyAlignment="1">
      <alignment horizontal="left" wrapText="1"/>
    </xf>
    <xf numFmtId="0" fontId="7" fillId="0" borderId="42" xfId="0" applyNumberFormat="1" applyFont="1" applyFill="1" applyBorder="1" applyAlignment="1">
      <alignment horizontal="left"/>
    </xf>
    <xf numFmtId="0" fontId="7" fillId="0" borderId="32" xfId="0" applyNumberFormat="1" applyFont="1" applyFill="1" applyBorder="1" applyAlignment="1">
      <alignment horizontal="right"/>
    </xf>
    <xf numFmtId="0" fontId="7" fillId="0" borderId="43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 textRotation="90" wrapText="1"/>
    </xf>
    <xf numFmtId="0" fontId="5" fillId="2" borderId="39" xfId="0" applyFont="1" applyFill="1" applyBorder="1" applyAlignment="1">
      <alignment horizontal="center" textRotation="90" wrapText="1"/>
    </xf>
    <xf numFmtId="0" fontId="15" fillId="0" borderId="0" xfId="0" applyFont="1" applyFill="1" applyBorder="1" applyAlignment="1"/>
    <xf numFmtId="0" fontId="15" fillId="0" borderId="44" xfId="0" applyFont="1" applyFill="1" applyBorder="1" applyAlignment="1"/>
  </cellXfs>
  <cellStyles count="3">
    <cellStyle name="Lien hypertexte" xfId="1" builtinId="8"/>
    <cellStyle name="Normal" xfId="0" builtinId="0"/>
    <cellStyle name="Normal 2" xfId="2"/>
  </cellStyles>
  <dxfs count="0"/>
  <tableStyles count="0" defaultTableStyle="TableStyleMedium9" defaultPivotStyle="PivotStyleLight16"/>
  <colors>
    <mruColors>
      <color rgb="FFB3B1A7"/>
      <color rgb="FFD3D2CB"/>
      <color rgb="FF827F7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creencast.com/t/2UNmtUrF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81"/>
  <sheetViews>
    <sheetView tabSelected="1" zoomScaleNormal="100" workbookViewId="0">
      <selection activeCell="C1" sqref="C1:C2"/>
    </sheetView>
  </sheetViews>
  <sheetFormatPr baseColWidth="10" defaultRowHeight="12.75"/>
  <cols>
    <col min="1" max="1" width="12.7109375" style="111" customWidth="1"/>
    <col min="2" max="2" width="35.7109375" customWidth="1"/>
    <col min="3" max="3" width="4.7109375" style="110" customWidth="1"/>
    <col min="4" max="4" width="6.7109375" style="1" customWidth="1"/>
  </cols>
  <sheetData>
    <row r="1" spans="1:4" s="113" customFormat="1" ht="175.15" customHeight="1">
      <c r="A1" s="149"/>
      <c r="B1" s="134"/>
      <c r="C1" s="147" t="s">
        <v>6</v>
      </c>
      <c r="D1" s="137"/>
    </row>
    <row r="2" spans="1:4" s="113" customFormat="1" ht="30" customHeight="1">
      <c r="A2" s="150"/>
      <c r="B2" s="139"/>
      <c r="C2" s="148"/>
      <c r="D2" s="138"/>
    </row>
    <row r="3" spans="1:4" s="114" customFormat="1" ht="19.899999999999999" customHeight="1">
      <c r="A3" s="140" t="s">
        <v>1</v>
      </c>
      <c r="B3" s="141"/>
      <c r="C3" s="135"/>
      <c r="D3" s="136"/>
    </row>
    <row r="4" spans="1:4" s="32" customFormat="1" ht="15" customHeight="1">
      <c r="A4" s="142"/>
      <c r="B4" s="29"/>
      <c r="C4" s="107"/>
      <c r="D4" s="30"/>
    </row>
    <row r="5" spans="1:4" s="31" customFormat="1" ht="16.899999999999999" customHeight="1">
      <c r="A5" s="143"/>
      <c r="B5" s="144" t="s">
        <v>0</v>
      </c>
      <c r="C5" s="145"/>
      <c r="D5" s="146"/>
    </row>
    <row r="7" spans="1:4" ht="15">
      <c r="B7" s="2"/>
      <c r="C7" s="108"/>
      <c r="D7" s="3"/>
    </row>
    <row r="8" spans="1:4" ht="15">
      <c r="B8" s="2"/>
      <c r="C8" s="108"/>
      <c r="D8" s="3"/>
    </row>
    <row r="10" spans="1:4">
      <c r="B10" s="4"/>
      <c r="C10" s="109"/>
      <c r="D10" s="5"/>
    </row>
    <row r="11" spans="1:4">
      <c r="A11" s="112"/>
      <c r="B11" s="1"/>
    </row>
    <row r="12" spans="1:4">
      <c r="A12" s="112"/>
      <c r="B12" s="1"/>
    </row>
    <row r="13" spans="1:4">
      <c r="A13" s="112"/>
      <c r="B13" s="1"/>
    </row>
    <row r="14" spans="1:4">
      <c r="A14" s="112"/>
      <c r="B14" s="1"/>
    </row>
    <row r="15" spans="1:4">
      <c r="A15" s="112"/>
      <c r="B15" s="1"/>
    </row>
    <row r="16" spans="1:4">
      <c r="A16" s="112"/>
      <c r="B16" s="1"/>
    </row>
    <row r="17" spans="1:2">
      <c r="A17" s="112"/>
      <c r="B17" s="1"/>
    </row>
    <row r="18" spans="1:2">
      <c r="A18" s="112"/>
      <c r="B18" s="1"/>
    </row>
    <row r="19" spans="1:2">
      <c r="A19" s="112"/>
      <c r="B19" s="1"/>
    </row>
    <row r="20" spans="1:2">
      <c r="A20" s="112"/>
      <c r="B20" s="1"/>
    </row>
    <row r="21" spans="1:2">
      <c r="A21" s="112"/>
      <c r="B21" s="1"/>
    </row>
    <row r="22" spans="1:2">
      <c r="A22" s="112"/>
      <c r="B22" s="1"/>
    </row>
    <row r="23" spans="1:2">
      <c r="A23" s="112"/>
      <c r="B23" s="1"/>
    </row>
    <row r="24" spans="1:2">
      <c r="A24" s="112"/>
      <c r="B24" s="1"/>
    </row>
    <row r="25" spans="1:2">
      <c r="A25" s="112"/>
      <c r="B25" s="1"/>
    </row>
    <row r="26" spans="1:2">
      <c r="A26" s="112"/>
      <c r="B26" s="1"/>
    </row>
    <row r="27" spans="1:2">
      <c r="A27" s="112"/>
      <c r="B27" s="1"/>
    </row>
    <row r="28" spans="1:2">
      <c r="A28" s="112"/>
      <c r="B28" s="1"/>
    </row>
    <row r="29" spans="1:2">
      <c r="A29" s="112"/>
      <c r="B29" s="1"/>
    </row>
    <row r="30" spans="1:2">
      <c r="A30" s="112"/>
      <c r="B30" s="1"/>
    </row>
    <row r="31" spans="1:2">
      <c r="A31" s="112"/>
      <c r="B31" s="1"/>
    </row>
    <row r="32" spans="1:2">
      <c r="A32" s="112"/>
      <c r="B32" s="1"/>
    </row>
    <row r="33" spans="1:2">
      <c r="A33" s="112"/>
      <c r="B33" s="1"/>
    </row>
    <row r="34" spans="1:2">
      <c r="A34" s="112"/>
      <c r="B34" s="1"/>
    </row>
    <row r="35" spans="1:2">
      <c r="A35" s="112"/>
      <c r="B35" s="1"/>
    </row>
    <row r="36" spans="1:2">
      <c r="A36" s="112"/>
      <c r="B36" s="1"/>
    </row>
    <row r="37" spans="1:2">
      <c r="A37" s="112"/>
      <c r="B37" s="1"/>
    </row>
    <row r="38" spans="1:2">
      <c r="A38" s="112"/>
      <c r="B38" s="1"/>
    </row>
    <row r="39" spans="1:2">
      <c r="A39" s="112"/>
      <c r="B39" s="1"/>
    </row>
    <row r="40" spans="1:2">
      <c r="A40" s="112"/>
      <c r="B40" s="1"/>
    </row>
    <row r="41" spans="1:2">
      <c r="A41" s="112"/>
      <c r="B41" s="1"/>
    </row>
    <row r="42" spans="1:2">
      <c r="A42" s="112"/>
      <c r="B42" s="1"/>
    </row>
    <row r="43" spans="1:2">
      <c r="A43" s="112"/>
      <c r="B43" s="1"/>
    </row>
    <row r="44" spans="1:2">
      <c r="A44" s="112"/>
      <c r="B44" s="1"/>
    </row>
    <row r="45" spans="1:2">
      <c r="A45" s="112"/>
      <c r="B45" s="1"/>
    </row>
    <row r="46" spans="1:2">
      <c r="A46" s="112"/>
      <c r="B46" s="1"/>
    </row>
    <row r="47" spans="1:2">
      <c r="A47" s="112"/>
      <c r="B47" s="1"/>
    </row>
    <row r="48" spans="1:2">
      <c r="A48" s="112"/>
      <c r="B48" s="1"/>
    </row>
    <row r="49" spans="1:2">
      <c r="A49" s="112"/>
      <c r="B49" s="1"/>
    </row>
    <row r="50" spans="1:2">
      <c r="A50" s="112"/>
      <c r="B50" s="1"/>
    </row>
    <row r="51" spans="1:2">
      <c r="A51" s="112"/>
      <c r="B51" s="1"/>
    </row>
    <row r="52" spans="1:2">
      <c r="A52" s="112"/>
      <c r="B52" s="1"/>
    </row>
    <row r="53" spans="1:2">
      <c r="A53" s="112"/>
      <c r="B53" s="1"/>
    </row>
    <row r="54" spans="1:2">
      <c r="A54" s="112"/>
      <c r="B54" s="1"/>
    </row>
    <row r="55" spans="1:2">
      <c r="A55" s="112"/>
      <c r="B55" s="1"/>
    </row>
    <row r="56" spans="1:2">
      <c r="A56" s="112"/>
      <c r="B56" s="1"/>
    </row>
    <row r="57" spans="1:2">
      <c r="A57" s="112"/>
      <c r="B57" s="1"/>
    </row>
    <row r="58" spans="1:2">
      <c r="A58" s="112"/>
      <c r="B58" s="1"/>
    </row>
    <row r="59" spans="1:2">
      <c r="A59" s="112"/>
      <c r="B59" s="1"/>
    </row>
    <row r="60" spans="1:2">
      <c r="A60" s="112"/>
      <c r="B60" s="1"/>
    </row>
    <row r="61" spans="1:2">
      <c r="A61" s="112"/>
      <c r="B61" s="1"/>
    </row>
    <row r="62" spans="1:2">
      <c r="A62" s="112"/>
      <c r="B62" s="1"/>
    </row>
    <row r="63" spans="1:2">
      <c r="A63" s="112"/>
      <c r="B63" s="1"/>
    </row>
    <row r="64" spans="1:2">
      <c r="A64" s="112"/>
      <c r="B64" s="1"/>
    </row>
    <row r="65" spans="1:2">
      <c r="A65" s="112"/>
      <c r="B65" s="1"/>
    </row>
    <row r="66" spans="1:2">
      <c r="A66" s="112"/>
      <c r="B66" s="1"/>
    </row>
    <row r="67" spans="1:2">
      <c r="A67" s="112"/>
      <c r="B67" s="1"/>
    </row>
    <row r="68" spans="1:2">
      <c r="A68" s="112"/>
      <c r="B68" s="1"/>
    </row>
    <row r="69" spans="1:2">
      <c r="A69" s="112"/>
      <c r="B69" s="1"/>
    </row>
    <row r="70" spans="1:2">
      <c r="A70" s="112"/>
      <c r="B70" s="1"/>
    </row>
    <row r="71" spans="1:2">
      <c r="A71" s="112"/>
      <c r="B71" s="1"/>
    </row>
    <row r="72" spans="1:2">
      <c r="A72" s="112"/>
      <c r="B72" s="1"/>
    </row>
    <row r="73" spans="1:2">
      <c r="A73" s="112"/>
      <c r="B73" s="1"/>
    </row>
    <row r="74" spans="1:2">
      <c r="A74" s="112"/>
      <c r="B74" s="1"/>
    </row>
    <row r="75" spans="1:2">
      <c r="A75" s="112"/>
      <c r="B75" s="1"/>
    </row>
    <row r="76" spans="1:2">
      <c r="A76" s="112"/>
      <c r="B76" s="1"/>
    </row>
    <row r="77" spans="1:2">
      <c r="A77" s="112"/>
      <c r="B77" s="1"/>
    </row>
    <row r="78" spans="1:2">
      <c r="A78" s="112"/>
      <c r="B78" s="1"/>
    </row>
    <row r="79" spans="1:2">
      <c r="A79" s="112"/>
      <c r="B79" s="1"/>
    </row>
    <row r="80" spans="1:2">
      <c r="A80" s="112"/>
      <c r="B80" s="1"/>
    </row>
    <row r="81" spans="1:2">
      <c r="A81" s="112"/>
      <c r="B81" s="1"/>
    </row>
  </sheetData>
  <mergeCells count="1">
    <mergeCell ref="C1:C2"/>
  </mergeCells>
  <phoneticPr fontId="2" type="noConversion"/>
  <printOptions horizontalCentered="1"/>
  <pageMargins left="0.5" right="0.5" top="1" bottom="0.75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4"/>
  <sheetViews>
    <sheetView zoomScale="140" zoomScaleNormal="140" workbookViewId="0">
      <selection activeCell="C3" sqref="C3"/>
    </sheetView>
  </sheetViews>
  <sheetFormatPr baseColWidth="10" defaultColWidth="11.5703125" defaultRowHeight="12.75"/>
  <cols>
    <col min="1" max="1" width="11.5703125" style="36"/>
    <col min="2" max="2" width="36.7109375" style="36" customWidth="1"/>
    <col min="3" max="8" width="5.7109375" style="36" customWidth="1"/>
    <col min="9" max="16384" width="11.5703125" style="36"/>
  </cols>
  <sheetData>
    <row r="1" spans="1:8" s="25" customFormat="1" ht="150" customHeight="1">
      <c r="A1" s="132"/>
      <c r="B1" s="133"/>
      <c r="C1" s="76" t="s">
        <v>2</v>
      </c>
      <c r="D1" s="77" t="s">
        <v>186</v>
      </c>
      <c r="E1" s="77" t="s">
        <v>187</v>
      </c>
      <c r="F1" s="77" t="s">
        <v>188</v>
      </c>
      <c r="G1" s="77" t="s">
        <v>189</v>
      </c>
      <c r="H1" s="77" t="s">
        <v>190</v>
      </c>
    </row>
    <row r="2" spans="1:8" s="24" customFormat="1" ht="19.899999999999999" customHeight="1">
      <c r="A2" s="124" t="s">
        <v>1</v>
      </c>
      <c r="B2" s="125"/>
      <c r="C2" s="37"/>
      <c r="D2" s="38"/>
      <c r="E2" s="39"/>
      <c r="F2" s="39"/>
      <c r="G2" s="39"/>
      <c r="H2" s="78"/>
    </row>
    <row r="3" spans="1:8" s="26" customFormat="1" ht="18" customHeight="1">
      <c r="A3" s="126" t="e">
        <f>#REF!</f>
        <v>#REF!</v>
      </c>
      <c r="B3" s="127" t="e">
        <f>#REF!</f>
        <v>#REF!</v>
      </c>
      <c r="C3" s="115">
        <f>COUNTA(D3:H3)</f>
        <v>3</v>
      </c>
      <c r="D3" s="116" t="s">
        <v>192</v>
      </c>
      <c r="E3" s="115" t="s">
        <v>192</v>
      </c>
      <c r="F3" s="116"/>
      <c r="G3" s="115" t="s">
        <v>192</v>
      </c>
      <c r="H3" s="117"/>
    </row>
    <row r="4" spans="1:8" s="26" customFormat="1" ht="18" customHeight="1">
      <c r="A4" s="128" t="e">
        <f>#REF!</f>
        <v>#REF!</v>
      </c>
      <c r="B4" s="129" t="e">
        <f>#REF!</f>
        <v>#REF!</v>
      </c>
      <c r="C4" s="49">
        <f>COUNTA(D4:H4)</f>
        <v>1</v>
      </c>
      <c r="D4" s="118"/>
      <c r="E4" s="49"/>
      <c r="F4" s="118" t="s">
        <v>192</v>
      </c>
      <c r="G4" s="118"/>
      <c r="H4" s="119"/>
    </row>
    <row r="5" spans="1:8" s="26" customFormat="1" ht="18" customHeight="1">
      <c r="A5" s="130" t="e">
        <f>#REF!</f>
        <v>#REF!</v>
      </c>
      <c r="B5" s="131" t="e">
        <f>#REF!</f>
        <v>#REF!</v>
      </c>
      <c r="C5" s="57">
        <f>COUNTA(D5:H5)</f>
        <v>3</v>
      </c>
      <c r="D5" s="120" t="s">
        <v>192</v>
      </c>
      <c r="E5" s="57" t="s">
        <v>192</v>
      </c>
      <c r="F5" s="120"/>
      <c r="G5" s="57" t="s">
        <v>192</v>
      </c>
      <c r="H5" s="121"/>
    </row>
    <row r="6" spans="1:8" s="26" customFormat="1" ht="19.899999999999999" customHeight="1">
      <c r="A6" s="124" t="s">
        <v>3</v>
      </c>
      <c r="B6" s="125"/>
      <c r="C6" s="33"/>
      <c r="D6" s="34"/>
      <c r="E6" s="35"/>
      <c r="F6" s="35"/>
      <c r="G6" s="35"/>
      <c r="H6" s="79"/>
    </row>
    <row r="7" spans="1:8" s="26" customFormat="1" ht="18" customHeight="1">
      <c r="A7" s="126" t="e">
        <f>#REF!</f>
        <v>#REF!</v>
      </c>
      <c r="B7" s="127" t="e">
        <f>#REF!</f>
        <v>#REF!</v>
      </c>
      <c r="C7" s="115">
        <f>COUNTA(D7:H7)</f>
        <v>3</v>
      </c>
      <c r="D7" s="115" t="s">
        <v>192</v>
      </c>
      <c r="E7" s="116" t="s">
        <v>192</v>
      </c>
      <c r="F7" s="116"/>
      <c r="G7" s="116" t="s">
        <v>192</v>
      </c>
      <c r="H7" s="117"/>
    </row>
    <row r="8" spans="1:8" s="26" customFormat="1" ht="18" customHeight="1">
      <c r="A8" s="128" t="e">
        <f>#REF!</f>
        <v>#REF!</v>
      </c>
      <c r="B8" s="129" t="e">
        <f>#REF!</f>
        <v>#REF!</v>
      </c>
      <c r="C8" s="49">
        <f>COUNTA(D8:H8)</f>
        <v>2</v>
      </c>
      <c r="D8" s="118"/>
      <c r="E8" s="49"/>
      <c r="F8" s="118" t="s">
        <v>192</v>
      </c>
      <c r="G8" s="118"/>
      <c r="H8" s="119" t="s">
        <v>192</v>
      </c>
    </row>
    <row r="9" spans="1:8" s="26" customFormat="1" ht="18" customHeight="1">
      <c r="A9" s="130" t="e">
        <f>#REF!</f>
        <v>#REF!</v>
      </c>
      <c r="B9" s="131" t="e">
        <f>#REF!</f>
        <v>#REF!</v>
      </c>
      <c r="C9" s="57">
        <f>COUNTA(D9:H9)</f>
        <v>3</v>
      </c>
      <c r="D9" s="120" t="s">
        <v>192</v>
      </c>
      <c r="E9" s="57" t="s">
        <v>192</v>
      </c>
      <c r="F9" s="120"/>
      <c r="G9" s="120" t="s">
        <v>192</v>
      </c>
      <c r="H9" s="121"/>
    </row>
    <row r="10" spans="1:8" s="26" customFormat="1" ht="19.899999999999999" customHeight="1">
      <c r="A10" s="124" t="s">
        <v>4</v>
      </c>
      <c r="B10" s="125"/>
      <c r="C10" s="33"/>
      <c r="D10" s="34"/>
      <c r="E10" s="35"/>
      <c r="F10" s="35"/>
      <c r="G10" s="35"/>
      <c r="H10" s="79"/>
    </row>
    <row r="11" spans="1:8" s="26" customFormat="1" ht="18" customHeight="1">
      <c r="A11" s="126" t="e">
        <f>#REF!</f>
        <v>#REF!</v>
      </c>
      <c r="B11" s="127" t="e">
        <f>#REF!</f>
        <v>#REF!</v>
      </c>
      <c r="C11" s="115">
        <f>COUNTA(D11:H11)</f>
        <v>3</v>
      </c>
      <c r="D11" s="115" t="s">
        <v>192</v>
      </c>
      <c r="E11" s="116" t="s">
        <v>192</v>
      </c>
      <c r="F11" s="116"/>
      <c r="G11" s="116" t="s">
        <v>192</v>
      </c>
      <c r="H11" s="117"/>
    </row>
    <row r="12" spans="1:8" s="26" customFormat="1" ht="18" customHeight="1">
      <c r="A12" s="128" t="e">
        <f>#REF!</f>
        <v>#REF!</v>
      </c>
      <c r="B12" s="129" t="e">
        <f>#REF!</f>
        <v>#REF!</v>
      </c>
      <c r="C12" s="49">
        <f>COUNTA(D12:H12)</f>
        <v>3</v>
      </c>
      <c r="D12" s="49" t="s">
        <v>192</v>
      </c>
      <c r="E12" s="49" t="s">
        <v>192</v>
      </c>
      <c r="F12" s="118"/>
      <c r="G12" s="49" t="s">
        <v>192</v>
      </c>
      <c r="H12" s="119"/>
    </row>
    <row r="13" spans="1:8" s="26" customFormat="1" ht="18" customHeight="1">
      <c r="A13" s="130" t="e">
        <f>#REF!</f>
        <v>#REF!</v>
      </c>
      <c r="B13" s="131" t="e">
        <f>#REF!</f>
        <v>#REF!</v>
      </c>
      <c r="C13" s="57">
        <f>COUNTA(D13:H13)</f>
        <v>3</v>
      </c>
      <c r="D13" s="57"/>
      <c r="E13" s="120"/>
      <c r="F13" s="120" t="s">
        <v>192</v>
      </c>
      <c r="G13" s="120" t="s">
        <v>192</v>
      </c>
      <c r="H13" s="121" t="s">
        <v>192</v>
      </c>
    </row>
    <row r="14" spans="1:8" s="26" customFormat="1" ht="19.899999999999999" customHeight="1">
      <c r="A14" s="124" t="s">
        <v>5</v>
      </c>
      <c r="B14" s="125"/>
      <c r="C14" s="33"/>
      <c r="D14" s="34"/>
      <c r="E14" s="35"/>
      <c r="F14" s="35"/>
      <c r="G14" s="35"/>
      <c r="H14" s="79"/>
    </row>
    <row r="15" spans="1:8" s="26" customFormat="1" ht="18" customHeight="1">
      <c r="A15" s="126" t="e">
        <f>#REF!</f>
        <v>#REF!</v>
      </c>
      <c r="B15" s="127" t="e">
        <f>#REF!</f>
        <v>#REF!</v>
      </c>
      <c r="C15" s="115">
        <f>COUNTA(D15:H15)</f>
        <v>5</v>
      </c>
      <c r="D15" s="115" t="s">
        <v>192</v>
      </c>
      <c r="E15" s="115" t="s">
        <v>192</v>
      </c>
      <c r="F15" s="116" t="s">
        <v>192</v>
      </c>
      <c r="G15" s="116" t="s">
        <v>192</v>
      </c>
      <c r="H15" s="122" t="s">
        <v>192</v>
      </c>
    </row>
    <row r="16" spans="1:8" s="26" customFormat="1" ht="18" customHeight="1">
      <c r="A16" s="128" t="e">
        <f>#REF!</f>
        <v>#REF!</v>
      </c>
      <c r="B16" s="129" t="e">
        <f>#REF!</f>
        <v>#REF!</v>
      </c>
      <c r="C16" s="49">
        <f>COUNTA(D16:H16)</f>
        <v>4</v>
      </c>
      <c r="D16" s="49" t="s">
        <v>192</v>
      </c>
      <c r="E16" s="49" t="s">
        <v>192</v>
      </c>
      <c r="F16" s="118"/>
      <c r="G16" s="118" t="s">
        <v>192</v>
      </c>
      <c r="H16" s="119" t="s">
        <v>192</v>
      </c>
    </row>
    <row r="17" spans="1:8" s="26" customFormat="1" ht="18" customHeight="1">
      <c r="A17" s="130" t="e">
        <f>#REF!</f>
        <v>#REF!</v>
      </c>
      <c r="B17" s="131" t="e">
        <f>#REF!</f>
        <v>#REF!</v>
      </c>
      <c r="C17" s="57">
        <f>COUNTA(D17:H17)</f>
        <v>3</v>
      </c>
      <c r="D17" s="57" t="s">
        <v>192</v>
      </c>
      <c r="E17" s="120" t="s">
        <v>192</v>
      </c>
      <c r="F17" s="120"/>
      <c r="G17" s="120" t="s">
        <v>192</v>
      </c>
      <c r="H17" s="123"/>
    </row>
    <row r="18" spans="1:8" s="27" customFormat="1" ht="18" customHeight="1">
      <c r="A18" s="80"/>
      <c r="B18" s="81"/>
      <c r="C18" s="82"/>
      <c r="D18" s="83">
        <f>COUNTA(D2:D17)</f>
        <v>9</v>
      </c>
      <c r="E18" s="83">
        <f>COUNTA(E2:E17)</f>
        <v>9</v>
      </c>
      <c r="F18" s="83">
        <f>COUNTA(F2:F17)</f>
        <v>4</v>
      </c>
      <c r="G18" s="83">
        <f>COUNTA(G2:G17)</f>
        <v>10</v>
      </c>
      <c r="H18" s="83">
        <f>COUNTA(H2:H17)</f>
        <v>4</v>
      </c>
    </row>
    <row r="19" spans="1:8" s="26" customFormat="1"/>
    <row r="20" spans="1:8" s="26" customFormat="1"/>
    <row r="21" spans="1:8" s="26" customFormat="1"/>
    <row r="22" spans="1:8" s="26" customFormat="1"/>
    <row r="23" spans="1:8" s="26" customFormat="1"/>
    <row r="24" spans="1:8" s="26" customFormat="1"/>
    <row r="25" spans="1:8" s="26" customFormat="1"/>
    <row r="26" spans="1:8" s="26" customFormat="1"/>
    <row r="27" spans="1:8" s="26" customFormat="1"/>
    <row r="28" spans="1:8" s="26" customFormat="1"/>
    <row r="29" spans="1:8" s="26" customFormat="1"/>
    <row r="30" spans="1:8" s="26" customFormat="1"/>
    <row r="31" spans="1:8" s="26" customFormat="1"/>
    <row r="32" spans="1:8" s="26" customFormat="1"/>
    <row r="33" s="26" customFormat="1"/>
    <row r="34" s="26" customFormat="1"/>
  </sheetData>
  <phoneticPr fontId="2" type="noConversion"/>
  <printOptions horizontalCentered="1"/>
  <pageMargins left="1" right="1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2"/>
  <sheetViews>
    <sheetView zoomScaleNormal="100" workbookViewId="0">
      <selection activeCell="T13" sqref="T13"/>
    </sheetView>
  </sheetViews>
  <sheetFormatPr baseColWidth="10" defaultColWidth="7.5703125" defaultRowHeight="15" outlineLevelRow="1"/>
  <cols>
    <col min="1" max="1" width="3.85546875" style="6" bestFit="1" customWidth="1"/>
    <col min="2" max="2" width="4.28515625" style="6" customWidth="1"/>
    <col min="3" max="3" width="5.42578125" style="7" customWidth="1"/>
    <col min="4" max="4" width="38.7109375" style="8" customWidth="1"/>
    <col min="5" max="17" width="5.28515625" style="13" customWidth="1"/>
    <col min="18" max="19" width="5.7109375" style="10" customWidth="1"/>
    <col min="20" max="16384" width="7.5703125" style="6"/>
  </cols>
  <sheetData>
    <row r="1" spans="1:17" s="84" customFormat="1" ht="91.9" customHeight="1">
      <c r="C1" s="85"/>
      <c r="D1" s="86"/>
      <c r="E1" s="106" t="s">
        <v>193</v>
      </c>
      <c r="F1" s="106" t="s">
        <v>185</v>
      </c>
      <c r="G1" s="106" t="e">
        <f>#REF!</f>
        <v>#REF!</v>
      </c>
      <c r="H1" s="106" t="e">
        <f>#REF!</f>
        <v>#REF!</v>
      </c>
      <c r="I1" s="106" t="e">
        <f>#REF!</f>
        <v>#REF!</v>
      </c>
      <c r="J1" s="106" t="e">
        <f>#REF!</f>
        <v>#REF!</v>
      </c>
      <c r="K1" s="106" t="e">
        <f>#REF!</f>
        <v>#REF!</v>
      </c>
      <c r="L1" s="106" t="e">
        <f>#REF!</f>
        <v>#REF!</v>
      </c>
      <c r="M1" s="106" t="e">
        <f>#REF!</f>
        <v>#REF!</v>
      </c>
      <c r="N1" s="106" t="e">
        <f>#REF!</f>
        <v>#REF!</v>
      </c>
      <c r="O1" s="106" t="e">
        <f>#REF!</f>
        <v>#REF!</v>
      </c>
      <c r="P1" s="106" t="e">
        <f>#REF!</f>
        <v>#REF!</v>
      </c>
      <c r="Q1" s="106" t="e">
        <f>#REF!</f>
        <v>#REF!</v>
      </c>
    </row>
    <row r="2" spans="1:17" s="101" customFormat="1" ht="15" customHeight="1">
      <c r="A2" s="93" t="s">
        <v>23</v>
      </c>
      <c r="B2" s="94" t="s">
        <v>24</v>
      </c>
      <c r="C2" s="95"/>
      <c r="D2" s="96"/>
      <c r="E2" s="97"/>
      <c r="F2" s="97"/>
      <c r="G2" s="98"/>
      <c r="H2" s="98"/>
      <c r="I2" s="98"/>
      <c r="J2" s="98"/>
      <c r="K2" s="98"/>
      <c r="L2" s="98"/>
      <c r="M2" s="98"/>
      <c r="N2" s="98"/>
      <c r="O2" s="99"/>
      <c r="P2" s="99"/>
      <c r="Q2" s="100"/>
    </row>
    <row r="3" spans="1:17" s="88" customFormat="1" ht="13.15" customHeight="1">
      <c r="A3" s="87"/>
      <c r="B3" s="42" t="s">
        <v>25</v>
      </c>
      <c r="C3" s="64" t="s">
        <v>26</v>
      </c>
      <c r="D3" s="47"/>
      <c r="E3" s="70">
        <f>COUNTA(F3:Q3)</f>
        <v>5</v>
      </c>
      <c r="F3" s="70" t="s">
        <v>192</v>
      </c>
      <c r="G3" s="70"/>
      <c r="H3" s="70"/>
      <c r="I3" s="70" t="s">
        <v>192</v>
      </c>
      <c r="J3" s="70"/>
      <c r="K3" s="70"/>
      <c r="L3" s="70" t="s">
        <v>192</v>
      </c>
      <c r="M3" s="70"/>
      <c r="N3" s="70"/>
      <c r="O3" s="70" t="s">
        <v>192</v>
      </c>
      <c r="P3" s="70" t="s">
        <v>192</v>
      </c>
      <c r="Q3" s="71"/>
    </row>
    <row r="4" spans="1:17" s="88" customFormat="1" ht="25.5" hidden="1" outlineLevel="1">
      <c r="A4" s="89"/>
      <c r="B4" s="43"/>
      <c r="C4" s="63" t="s">
        <v>8</v>
      </c>
      <c r="D4" s="48" t="s">
        <v>12</v>
      </c>
      <c r="E4" s="49">
        <f>COUNTIF(F4:Q4,"x")</f>
        <v>0</v>
      </c>
      <c r="F4" s="49"/>
      <c r="G4" s="50"/>
      <c r="H4" s="49"/>
      <c r="I4" s="50"/>
      <c r="J4" s="50"/>
      <c r="K4" s="50"/>
      <c r="L4" s="50"/>
      <c r="M4" s="50"/>
      <c r="N4" s="50"/>
      <c r="O4" s="50"/>
      <c r="P4" s="50"/>
      <c r="Q4" s="51"/>
    </row>
    <row r="5" spans="1:17" s="88" customFormat="1" ht="38.25" hidden="1" outlineLevel="1">
      <c r="A5" s="89"/>
      <c r="B5" s="43"/>
      <c r="C5" s="63" t="s">
        <v>9</v>
      </c>
      <c r="D5" s="48" t="s">
        <v>13</v>
      </c>
      <c r="E5" s="49">
        <f>COUNTIF(F5:Q5,"x")</f>
        <v>0</v>
      </c>
      <c r="F5" s="49"/>
      <c r="G5" s="50"/>
      <c r="H5" s="50"/>
      <c r="I5" s="50"/>
      <c r="J5" s="50"/>
      <c r="K5" s="50"/>
      <c r="L5" s="50"/>
      <c r="M5" s="50"/>
      <c r="N5" s="50"/>
      <c r="O5" s="50"/>
      <c r="P5" s="50"/>
      <c r="Q5" s="51"/>
    </row>
    <row r="6" spans="1:17" s="88" customFormat="1" ht="12.75" hidden="1" outlineLevel="1">
      <c r="A6" s="89"/>
      <c r="B6" s="43"/>
      <c r="C6" s="63" t="s">
        <v>10</v>
      </c>
      <c r="D6" s="48" t="s">
        <v>14</v>
      </c>
      <c r="E6" s="49">
        <f>COUNTIF(F6:Q6,"x")</f>
        <v>0</v>
      </c>
      <c r="F6" s="49"/>
      <c r="G6" s="50"/>
      <c r="H6" s="49"/>
      <c r="I6" s="50"/>
      <c r="J6" s="50"/>
      <c r="K6" s="50"/>
      <c r="L6" s="50"/>
      <c r="M6" s="50"/>
      <c r="N6" s="50"/>
      <c r="O6" s="50"/>
      <c r="P6" s="50"/>
      <c r="Q6" s="51"/>
    </row>
    <row r="7" spans="1:17" s="88" customFormat="1" ht="25.5" hidden="1" outlineLevel="1">
      <c r="A7" s="89"/>
      <c r="B7" s="43"/>
      <c r="C7" s="63" t="s">
        <v>7</v>
      </c>
      <c r="D7" s="48" t="s">
        <v>15</v>
      </c>
      <c r="E7" s="49">
        <f>COUNTIF(F7:Q7,"x")</f>
        <v>0</v>
      </c>
      <c r="F7" s="49"/>
      <c r="G7" s="50"/>
      <c r="H7" s="49"/>
      <c r="I7" s="50"/>
      <c r="J7" s="50"/>
      <c r="K7" s="50"/>
      <c r="L7" s="50"/>
      <c r="M7" s="50"/>
      <c r="N7" s="50"/>
      <c r="O7" s="50"/>
      <c r="P7" s="50"/>
      <c r="Q7" s="51"/>
    </row>
    <row r="8" spans="1:17" s="88" customFormat="1" ht="25.5" hidden="1" outlineLevel="1">
      <c r="A8" s="89"/>
      <c r="B8" s="43"/>
      <c r="C8" s="63" t="s">
        <v>11</v>
      </c>
      <c r="D8" s="48" t="s">
        <v>16</v>
      </c>
      <c r="E8" s="49">
        <f>COUNTIF(F8:Q8,"x")</f>
        <v>0</v>
      </c>
      <c r="F8" s="49"/>
      <c r="G8" s="50"/>
      <c r="H8" s="49"/>
      <c r="I8" s="50"/>
      <c r="J8" s="50"/>
      <c r="K8" s="50"/>
      <c r="L8" s="50"/>
      <c r="M8" s="50"/>
      <c r="N8" s="50"/>
      <c r="O8" s="50"/>
      <c r="P8" s="50"/>
      <c r="Q8" s="51"/>
    </row>
    <row r="9" spans="1:17" s="88" customFormat="1" ht="12.75" collapsed="1">
      <c r="A9" s="89"/>
      <c r="B9" s="44" t="s">
        <v>27</v>
      </c>
      <c r="C9" s="63" t="s">
        <v>28</v>
      </c>
      <c r="D9" s="52"/>
      <c r="E9" s="49">
        <f t="shared" ref="E9:E16" si="0">COUNTA(F9:Q9)</f>
        <v>5</v>
      </c>
      <c r="F9" s="49" t="s">
        <v>192</v>
      </c>
      <c r="G9" s="49"/>
      <c r="H9" s="49"/>
      <c r="I9" s="49" t="s">
        <v>192</v>
      </c>
      <c r="J9" s="49"/>
      <c r="K9" s="49"/>
      <c r="L9" s="49" t="s">
        <v>192</v>
      </c>
      <c r="M9" s="49"/>
      <c r="N9" s="49"/>
      <c r="O9" s="49" t="s">
        <v>192</v>
      </c>
      <c r="P9" s="49" t="s">
        <v>192</v>
      </c>
      <c r="Q9" s="53"/>
    </row>
    <row r="10" spans="1:17" s="88" customFormat="1" ht="25.5" hidden="1" outlineLevel="1">
      <c r="A10" s="89"/>
      <c r="B10" s="43"/>
      <c r="C10" s="63" t="s">
        <v>18</v>
      </c>
      <c r="D10" s="48" t="s">
        <v>17</v>
      </c>
      <c r="E10" s="49">
        <f t="shared" si="0"/>
        <v>0</v>
      </c>
      <c r="F10" s="49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1"/>
    </row>
    <row r="11" spans="1:17" s="88" customFormat="1" ht="25.5" hidden="1" outlineLevel="1">
      <c r="A11" s="89"/>
      <c r="B11" s="43"/>
      <c r="C11" s="63" t="s">
        <v>19</v>
      </c>
      <c r="D11" s="48" t="s">
        <v>20</v>
      </c>
      <c r="E11" s="49">
        <f t="shared" si="0"/>
        <v>0</v>
      </c>
      <c r="F11" s="49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1"/>
    </row>
    <row r="12" spans="1:17" s="88" customFormat="1" ht="12.75" hidden="1" outlineLevel="1">
      <c r="A12" s="89"/>
      <c r="B12" s="43"/>
      <c r="C12" s="63" t="s">
        <v>21</v>
      </c>
      <c r="D12" s="48" t="s">
        <v>22</v>
      </c>
      <c r="E12" s="49">
        <f t="shared" si="0"/>
        <v>0</v>
      </c>
      <c r="F12" s="49"/>
      <c r="G12" s="50"/>
      <c r="H12" s="49"/>
      <c r="I12" s="50"/>
      <c r="J12" s="50"/>
      <c r="K12" s="50"/>
      <c r="L12" s="50"/>
      <c r="M12" s="50"/>
      <c r="N12" s="50"/>
      <c r="O12" s="50"/>
      <c r="P12" s="50"/>
      <c r="Q12" s="51"/>
    </row>
    <row r="13" spans="1:17" s="88" customFormat="1" ht="12.75" collapsed="1">
      <c r="A13" s="89"/>
      <c r="B13" s="44" t="s">
        <v>29</v>
      </c>
      <c r="C13" s="61" t="s">
        <v>34</v>
      </c>
      <c r="D13" s="54"/>
      <c r="E13" s="49">
        <f t="shared" si="0"/>
        <v>5</v>
      </c>
      <c r="F13" s="49" t="s">
        <v>192</v>
      </c>
      <c r="G13" s="49"/>
      <c r="H13" s="49"/>
      <c r="I13" s="49" t="s">
        <v>192</v>
      </c>
      <c r="J13" s="49"/>
      <c r="K13" s="49"/>
      <c r="L13" s="49" t="s">
        <v>192</v>
      </c>
      <c r="M13" s="49"/>
      <c r="N13" s="49"/>
      <c r="O13" s="49" t="s">
        <v>192</v>
      </c>
      <c r="P13" s="49" t="s">
        <v>192</v>
      </c>
      <c r="Q13" s="53"/>
    </row>
    <row r="14" spans="1:17" s="88" customFormat="1" ht="25.5" hidden="1" outlineLevel="1">
      <c r="A14" s="89"/>
      <c r="B14" s="43"/>
      <c r="C14" s="63" t="s">
        <v>30</v>
      </c>
      <c r="D14" s="48" t="s">
        <v>31</v>
      </c>
      <c r="E14" s="49">
        <f t="shared" si="0"/>
        <v>0</v>
      </c>
      <c r="F14" s="49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1"/>
    </row>
    <row r="15" spans="1:17" s="88" customFormat="1" ht="25.5" hidden="1" outlineLevel="1">
      <c r="A15" s="89"/>
      <c r="B15" s="43"/>
      <c r="C15" s="63" t="s">
        <v>32</v>
      </c>
      <c r="D15" s="48" t="s">
        <v>33</v>
      </c>
      <c r="E15" s="49">
        <f t="shared" si="0"/>
        <v>0</v>
      </c>
      <c r="F15" s="49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1"/>
    </row>
    <row r="16" spans="1:17" s="88" customFormat="1" ht="12.75" collapsed="1">
      <c r="A16" s="90"/>
      <c r="B16" s="65" t="s">
        <v>35</v>
      </c>
      <c r="C16" s="61" t="s">
        <v>36</v>
      </c>
      <c r="D16" s="52"/>
      <c r="E16" s="49">
        <f t="shared" si="0"/>
        <v>5</v>
      </c>
      <c r="F16" s="49" t="s">
        <v>192</v>
      </c>
      <c r="G16" s="49"/>
      <c r="H16" s="49"/>
      <c r="I16" s="49" t="s">
        <v>192</v>
      </c>
      <c r="J16" s="49"/>
      <c r="K16" s="49"/>
      <c r="L16" s="49" t="s">
        <v>192</v>
      </c>
      <c r="M16" s="49"/>
      <c r="N16" s="49"/>
      <c r="O16" s="49" t="s">
        <v>192</v>
      </c>
      <c r="P16" s="49" t="s">
        <v>192</v>
      </c>
      <c r="Q16" s="53"/>
    </row>
    <row r="17" spans="1:17" s="10" customFormat="1" ht="30" hidden="1" outlineLevel="1">
      <c r="A17" s="40"/>
      <c r="B17" s="17"/>
      <c r="C17" s="18" t="s">
        <v>37</v>
      </c>
      <c r="D17" s="19" t="s">
        <v>39</v>
      </c>
      <c r="E17" s="45">
        <f>COUNTIF(F17:Q17,"x")</f>
        <v>2</v>
      </c>
      <c r="F17" s="45" t="s">
        <v>192</v>
      </c>
      <c r="G17" s="28"/>
      <c r="H17" s="28"/>
      <c r="I17" s="28" t="s">
        <v>192</v>
      </c>
      <c r="J17" s="28"/>
      <c r="K17" s="28"/>
      <c r="L17" s="28"/>
      <c r="M17" s="28"/>
      <c r="N17" s="28"/>
      <c r="O17" s="28"/>
      <c r="P17" s="28"/>
      <c r="Q17" s="28"/>
    </row>
    <row r="18" spans="1:17" s="10" customFormat="1" hidden="1" outlineLevel="1">
      <c r="A18" s="40"/>
      <c r="B18" s="17"/>
      <c r="C18" s="18" t="s">
        <v>38</v>
      </c>
      <c r="D18" s="19" t="s">
        <v>40</v>
      </c>
      <c r="E18" s="72">
        <f>COUNTIF(F18:Q18,"x")</f>
        <v>2</v>
      </c>
      <c r="F18" s="72" t="s">
        <v>192</v>
      </c>
      <c r="G18" s="73"/>
      <c r="H18" s="73"/>
      <c r="I18" s="73" t="s">
        <v>192</v>
      </c>
      <c r="J18" s="73"/>
      <c r="K18" s="73"/>
      <c r="L18" s="73"/>
      <c r="M18" s="73"/>
      <c r="N18" s="73"/>
      <c r="O18" s="73"/>
      <c r="P18" s="73"/>
      <c r="Q18" s="73"/>
    </row>
    <row r="19" spans="1:17" s="101" customFormat="1" ht="15" customHeight="1" collapsed="1">
      <c r="A19" s="102" t="s">
        <v>41</v>
      </c>
      <c r="B19" s="103" t="s">
        <v>42</v>
      </c>
      <c r="C19" s="104"/>
      <c r="D19" s="105"/>
      <c r="E19" s="97"/>
      <c r="F19" s="97"/>
      <c r="G19" s="98"/>
      <c r="H19" s="98"/>
      <c r="I19" s="98"/>
      <c r="J19" s="98"/>
      <c r="K19" s="98"/>
      <c r="L19" s="98"/>
      <c r="M19" s="98"/>
      <c r="N19" s="98"/>
      <c r="O19" s="99"/>
      <c r="P19" s="99"/>
      <c r="Q19" s="100"/>
    </row>
    <row r="20" spans="1:17" s="88" customFormat="1" ht="12.75">
      <c r="A20" s="87"/>
      <c r="B20" s="42" t="s">
        <v>43</v>
      </c>
      <c r="C20" s="60" t="s">
        <v>44</v>
      </c>
      <c r="D20" s="46"/>
      <c r="E20" s="70">
        <f t="shared" ref="E20:E26" si="1">COUNTA(F20:Q20)</f>
        <v>5</v>
      </c>
      <c r="F20" s="70" t="s">
        <v>192</v>
      </c>
      <c r="G20" s="70"/>
      <c r="H20" s="70"/>
      <c r="I20" s="70" t="s">
        <v>192</v>
      </c>
      <c r="J20" s="70"/>
      <c r="K20" s="70"/>
      <c r="L20" s="70" t="s">
        <v>192</v>
      </c>
      <c r="M20" s="70"/>
      <c r="N20" s="70"/>
      <c r="O20" s="70" t="s">
        <v>192</v>
      </c>
      <c r="P20" s="70" t="s">
        <v>192</v>
      </c>
      <c r="Q20" s="71"/>
    </row>
    <row r="21" spans="1:17" s="88" customFormat="1" ht="25.5" hidden="1" outlineLevel="1">
      <c r="A21" s="89"/>
      <c r="B21" s="43"/>
      <c r="C21" s="63" t="s">
        <v>45</v>
      </c>
      <c r="D21" s="48" t="s">
        <v>46</v>
      </c>
      <c r="E21" s="49">
        <f t="shared" si="1"/>
        <v>0</v>
      </c>
      <c r="F21" s="49"/>
      <c r="G21" s="50"/>
      <c r="H21" s="49"/>
      <c r="I21" s="50"/>
      <c r="J21" s="50"/>
      <c r="K21" s="50"/>
      <c r="L21" s="50"/>
      <c r="M21" s="50"/>
      <c r="N21" s="50"/>
      <c r="O21" s="50"/>
      <c r="P21" s="50"/>
      <c r="Q21" s="51"/>
    </row>
    <row r="22" spans="1:17" s="88" customFormat="1" ht="25.5" hidden="1" outlineLevel="1">
      <c r="A22" s="89"/>
      <c r="B22" s="43"/>
      <c r="C22" s="63" t="s">
        <v>47</v>
      </c>
      <c r="D22" s="52" t="s">
        <v>48</v>
      </c>
      <c r="E22" s="49">
        <f t="shared" si="1"/>
        <v>0</v>
      </c>
      <c r="F22" s="49"/>
      <c r="G22" s="50"/>
      <c r="H22" s="49"/>
      <c r="I22" s="50"/>
      <c r="J22" s="50"/>
      <c r="K22" s="50"/>
      <c r="L22" s="50"/>
      <c r="M22" s="50"/>
      <c r="N22" s="50"/>
      <c r="O22" s="50"/>
      <c r="P22" s="50"/>
      <c r="Q22" s="51"/>
    </row>
    <row r="23" spans="1:17" s="88" customFormat="1" ht="12.75" collapsed="1">
      <c r="A23" s="89"/>
      <c r="B23" s="44" t="s">
        <v>49</v>
      </c>
      <c r="C23" s="61" t="s">
        <v>50</v>
      </c>
      <c r="D23" s="48"/>
      <c r="E23" s="49">
        <f t="shared" si="1"/>
        <v>5</v>
      </c>
      <c r="F23" s="49" t="s">
        <v>192</v>
      </c>
      <c r="G23" s="49"/>
      <c r="H23" s="49"/>
      <c r="I23" s="49" t="s">
        <v>192</v>
      </c>
      <c r="J23" s="49"/>
      <c r="K23" s="49"/>
      <c r="L23" s="49" t="s">
        <v>192</v>
      </c>
      <c r="M23" s="49"/>
      <c r="N23" s="49"/>
      <c r="O23" s="49" t="s">
        <v>192</v>
      </c>
      <c r="P23" s="49" t="s">
        <v>192</v>
      </c>
      <c r="Q23" s="53"/>
    </row>
    <row r="24" spans="1:17" s="88" customFormat="1" ht="25.5" hidden="1" outlineLevel="1">
      <c r="A24" s="89"/>
      <c r="B24" s="43"/>
      <c r="C24" s="63" t="s">
        <v>51</v>
      </c>
      <c r="D24" s="48" t="s">
        <v>122</v>
      </c>
      <c r="E24" s="49">
        <f t="shared" si="1"/>
        <v>0</v>
      </c>
      <c r="F24" s="49"/>
      <c r="G24" s="50"/>
      <c r="H24" s="50"/>
      <c r="I24" s="49"/>
      <c r="J24" s="49"/>
      <c r="K24" s="49"/>
      <c r="L24" s="49"/>
      <c r="M24" s="49"/>
      <c r="N24" s="49"/>
      <c r="O24" s="50"/>
      <c r="P24" s="50"/>
      <c r="Q24" s="51"/>
    </row>
    <row r="25" spans="1:17" s="88" customFormat="1" ht="12.75" hidden="1" outlineLevel="1">
      <c r="A25" s="89"/>
      <c r="B25" s="43"/>
      <c r="C25" s="63" t="s">
        <v>52</v>
      </c>
      <c r="D25" s="48" t="s">
        <v>123</v>
      </c>
      <c r="E25" s="49">
        <f t="shared" si="1"/>
        <v>0</v>
      </c>
      <c r="F25" s="49"/>
      <c r="G25" s="50"/>
      <c r="H25" s="49"/>
      <c r="I25" s="50"/>
      <c r="J25" s="50"/>
      <c r="K25" s="50"/>
      <c r="L25" s="50"/>
      <c r="M25" s="50"/>
      <c r="N25" s="50"/>
      <c r="O25" s="50"/>
      <c r="P25" s="50"/>
      <c r="Q25" s="51"/>
    </row>
    <row r="26" spans="1:17" s="88" customFormat="1" ht="12.75" collapsed="1">
      <c r="A26" s="89"/>
      <c r="B26" s="44" t="s">
        <v>53</v>
      </c>
      <c r="C26" s="61" t="s">
        <v>54</v>
      </c>
      <c r="D26" s="48"/>
      <c r="E26" s="49">
        <f t="shared" si="1"/>
        <v>5</v>
      </c>
      <c r="F26" s="49" t="s">
        <v>192</v>
      </c>
      <c r="G26" s="49"/>
      <c r="H26" s="49"/>
      <c r="I26" s="49" t="s">
        <v>192</v>
      </c>
      <c r="J26" s="49"/>
      <c r="K26" s="49"/>
      <c r="L26" s="49" t="s">
        <v>192</v>
      </c>
      <c r="M26" s="49"/>
      <c r="N26" s="49"/>
      <c r="O26" s="49" t="s">
        <v>192</v>
      </c>
      <c r="P26" s="49" t="s">
        <v>192</v>
      </c>
      <c r="Q26" s="53"/>
    </row>
    <row r="27" spans="1:17" s="10" customFormat="1" ht="30" hidden="1" outlineLevel="1">
      <c r="A27" s="40"/>
      <c r="B27" s="17"/>
      <c r="C27" s="18" t="s">
        <v>55</v>
      </c>
      <c r="D27" s="19" t="s">
        <v>124</v>
      </c>
      <c r="E27" s="45">
        <f>COUNTIF(F27:Q27,"x")</f>
        <v>1</v>
      </c>
      <c r="F27" s="45"/>
      <c r="G27" s="28"/>
      <c r="H27" s="28"/>
      <c r="I27" s="28"/>
      <c r="J27" s="28"/>
      <c r="K27" s="28"/>
      <c r="L27" s="28"/>
      <c r="M27" s="28"/>
      <c r="N27" s="28"/>
      <c r="O27" s="28"/>
      <c r="P27" s="28" t="s">
        <v>192</v>
      </c>
      <c r="Q27" s="28"/>
    </row>
    <row r="28" spans="1:17" s="12" customFormat="1" ht="30" hidden="1" outlineLevel="1">
      <c r="A28" s="40"/>
      <c r="B28" s="21"/>
      <c r="C28" s="15" t="s">
        <v>56</v>
      </c>
      <c r="D28" s="20" t="s">
        <v>125</v>
      </c>
      <c r="E28" s="9">
        <f>COUNTIF(F28:Q28,"x")</f>
        <v>1</v>
      </c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 t="s">
        <v>192</v>
      </c>
      <c r="Q28" s="11"/>
    </row>
    <row r="29" spans="1:17" s="10" customFormat="1" ht="30" hidden="1" outlineLevel="1">
      <c r="A29" s="40"/>
      <c r="B29" s="21"/>
      <c r="C29" s="15" t="s">
        <v>57</v>
      </c>
      <c r="D29" s="20" t="s">
        <v>126</v>
      </c>
      <c r="E29" s="72">
        <f>COUNTIF(F29:Q29,"x")</f>
        <v>1</v>
      </c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 t="s">
        <v>192</v>
      </c>
      <c r="Q29" s="73"/>
    </row>
    <row r="30" spans="1:17" s="101" customFormat="1" ht="15" customHeight="1" collapsed="1">
      <c r="A30" s="102" t="s">
        <v>58</v>
      </c>
      <c r="B30" s="103" t="s">
        <v>59</v>
      </c>
      <c r="C30" s="104"/>
      <c r="D30" s="105"/>
      <c r="E30" s="97"/>
      <c r="F30" s="97"/>
      <c r="G30" s="98"/>
      <c r="H30" s="98"/>
      <c r="I30" s="98"/>
      <c r="J30" s="98"/>
      <c r="K30" s="98"/>
      <c r="L30" s="98"/>
      <c r="M30" s="98"/>
      <c r="N30" s="98"/>
      <c r="O30" s="99"/>
      <c r="P30" s="99"/>
      <c r="Q30" s="100"/>
    </row>
    <row r="31" spans="1:17" s="88" customFormat="1" ht="12.75">
      <c r="A31" s="87"/>
      <c r="B31" s="42" t="s">
        <v>60</v>
      </c>
      <c r="C31" s="60" t="s">
        <v>127</v>
      </c>
      <c r="D31" s="55"/>
      <c r="E31" s="70">
        <f t="shared" ref="E31:E47" si="2">COUNTA(F31:Q31)</f>
        <v>5</v>
      </c>
      <c r="F31" s="74" t="s">
        <v>192</v>
      </c>
      <c r="G31" s="74"/>
      <c r="H31" s="74"/>
      <c r="I31" s="74" t="s">
        <v>192</v>
      </c>
      <c r="J31" s="74"/>
      <c r="K31" s="74"/>
      <c r="L31" s="74" t="s">
        <v>192</v>
      </c>
      <c r="M31" s="74"/>
      <c r="N31" s="74"/>
      <c r="O31" s="74" t="s">
        <v>192</v>
      </c>
      <c r="P31" s="74" t="s">
        <v>192</v>
      </c>
      <c r="Q31" s="75"/>
    </row>
    <row r="32" spans="1:17" s="88" customFormat="1" ht="25.5" hidden="1" outlineLevel="1">
      <c r="A32" s="89"/>
      <c r="B32" s="68"/>
      <c r="C32" s="61" t="s">
        <v>61</v>
      </c>
      <c r="D32" s="54" t="s">
        <v>128</v>
      </c>
      <c r="E32" s="49">
        <f t="shared" si="2"/>
        <v>0</v>
      </c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1"/>
    </row>
    <row r="33" spans="1:17" s="88" customFormat="1" ht="25.5" hidden="1" outlineLevel="1">
      <c r="A33" s="89"/>
      <c r="B33" s="68"/>
      <c r="C33" s="61" t="s">
        <v>62</v>
      </c>
      <c r="D33" s="54" t="s">
        <v>129</v>
      </c>
      <c r="E33" s="49">
        <f t="shared" si="2"/>
        <v>0</v>
      </c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1"/>
    </row>
    <row r="34" spans="1:17" s="88" customFormat="1" ht="12.75" hidden="1" outlineLevel="1">
      <c r="A34" s="89"/>
      <c r="B34" s="68"/>
      <c r="C34" s="61" t="s">
        <v>63</v>
      </c>
      <c r="D34" s="54" t="s">
        <v>130</v>
      </c>
      <c r="E34" s="49">
        <f t="shared" si="2"/>
        <v>0</v>
      </c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1"/>
    </row>
    <row r="35" spans="1:17" s="88" customFormat="1" ht="12.75" collapsed="1">
      <c r="A35" s="89"/>
      <c r="B35" s="44" t="s">
        <v>64</v>
      </c>
      <c r="C35" s="61" t="s">
        <v>131</v>
      </c>
      <c r="D35" s="54"/>
      <c r="E35" s="49">
        <f t="shared" si="2"/>
        <v>5</v>
      </c>
      <c r="F35" s="50" t="s">
        <v>192</v>
      </c>
      <c r="G35" s="50"/>
      <c r="H35" s="50"/>
      <c r="I35" s="50" t="s">
        <v>192</v>
      </c>
      <c r="J35" s="50"/>
      <c r="K35" s="50"/>
      <c r="L35" s="50" t="s">
        <v>192</v>
      </c>
      <c r="M35" s="50"/>
      <c r="N35" s="50"/>
      <c r="O35" s="50" t="s">
        <v>192</v>
      </c>
      <c r="P35" s="50" t="s">
        <v>192</v>
      </c>
      <c r="Q35" s="51"/>
    </row>
    <row r="36" spans="1:17" s="88" customFormat="1" ht="25.5" hidden="1" outlineLevel="1">
      <c r="A36" s="89"/>
      <c r="B36" s="69"/>
      <c r="C36" s="61" t="s">
        <v>65</v>
      </c>
      <c r="D36" s="54" t="s">
        <v>132</v>
      </c>
      <c r="E36" s="49">
        <f t="shared" si="2"/>
        <v>0</v>
      </c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1"/>
    </row>
    <row r="37" spans="1:17" s="88" customFormat="1" ht="12.75" hidden="1" outlineLevel="1">
      <c r="A37" s="89"/>
      <c r="B37" s="69"/>
      <c r="C37" s="61" t="s">
        <v>66</v>
      </c>
      <c r="D37" s="54" t="s">
        <v>133</v>
      </c>
      <c r="E37" s="49">
        <f t="shared" si="2"/>
        <v>0</v>
      </c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1"/>
    </row>
    <row r="38" spans="1:17" s="88" customFormat="1" ht="25.5" hidden="1" outlineLevel="1">
      <c r="A38" s="89"/>
      <c r="B38" s="69"/>
      <c r="C38" s="61" t="s">
        <v>67</v>
      </c>
      <c r="D38" s="54" t="s">
        <v>134</v>
      </c>
      <c r="E38" s="49">
        <f t="shared" si="2"/>
        <v>0</v>
      </c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1"/>
    </row>
    <row r="39" spans="1:17" s="88" customFormat="1" ht="12.75" hidden="1" outlineLevel="1">
      <c r="A39" s="89"/>
      <c r="B39" s="69"/>
      <c r="C39" s="61" t="s">
        <v>68</v>
      </c>
      <c r="D39" s="54" t="s">
        <v>135</v>
      </c>
      <c r="E39" s="49">
        <f t="shared" si="2"/>
        <v>0</v>
      </c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1"/>
    </row>
    <row r="40" spans="1:17" s="88" customFormat="1" ht="25.5" hidden="1" outlineLevel="1">
      <c r="A40" s="89"/>
      <c r="B40" s="69"/>
      <c r="C40" s="61" t="s">
        <v>69</v>
      </c>
      <c r="D40" s="54" t="s">
        <v>136</v>
      </c>
      <c r="E40" s="49">
        <f t="shared" si="2"/>
        <v>0</v>
      </c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1"/>
    </row>
    <row r="41" spans="1:17" s="88" customFormat="1" ht="12.75" hidden="1" outlineLevel="1">
      <c r="A41" s="89"/>
      <c r="B41" s="69"/>
      <c r="C41" s="61" t="s">
        <v>70</v>
      </c>
      <c r="D41" s="54" t="s">
        <v>137</v>
      </c>
      <c r="E41" s="49">
        <f t="shared" si="2"/>
        <v>0</v>
      </c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1"/>
    </row>
    <row r="42" spans="1:17" s="88" customFormat="1" ht="25.5" hidden="1" outlineLevel="1">
      <c r="A42" s="89"/>
      <c r="B42" s="69"/>
      <c r="C42" s="61" t="s">
        <v>71</v>
      </c>
      <c r="D42" s="54" t="s">
        <v>138</v>
      </c>
      <c r="E42" s="49">
        <f t="shared" si="2"/>
        <v>0</v>
      </c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1"/>
    </row>
    <row r="43" spans="1:17" s="88" customFormat="1" ht="12.75" collapsed="1">
      <c r="A43" s="89"/>
      <c r="B43" s="44" t="s">
        <v>72</v>
      </c>
      <c r="C43" s="61" t="s">
        <v>139</v>
      </c>
      <c r="D43" s="54"/>
      <c r="E43" s="49">
        <f t="shared" si="2"/>
        <v>5</v>
      </c>
      <c r="F43" s="50" t="s">
        <v>192</v>
      </c>
      <c r="G43" s="50"/>
      <c r="H43" s="50"/>
      <c r="I43" s="50" t="s">
        <v>192</v>
      </c>
      <c r="J43" s="50"/>
      <c r="K43" s="50"/>
      <c r="L43" s="50" t="s">
        <v>192</v>
      </c>
      <c r="M43" s="50"/>
      <c r="N43" s="50"/>
      <c r="O43" s="50" t="s">
        <v>192</v>
      </c>
      <c r="P43" s="50" t="s">
        <v>192</v>
      </c>
      <c r="Q43" s="51"/>
    </row>
    <row r="44" spans="1:17" s="88" customFormat="1" ht="25.5" hidden="1" outlineLevel="1">
      <c r="A44" s="89"/>
      <c r="B44" s="69"/>
      <c r="C44" s="61" t="s">
        <v>73</v>
      </c>
      <c r="D44" s="54" t="s">
        <v>140</v>
      </c>
      <c r="E44" s="49">
        <f t="shared" si="2"/>
        <v>0</v>
      </c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1"/>
    </row>
    <row r="45" spans="1:17" s="88" customFormat="1" ht="25.5" hidden="1" outlineLevel="1">
      <c r="A45" s="89"/>
      <c r="B45" s="69"/>
      <c r="C45" s="61" t="s">
        <v>74</v>
      </c>
      <c r="D45" s="54" t="s">
        <v>141</v>
      </c>
      <c r="E45" s="49">
        <f t="shared" si="2"/>
        <v>0</v>
      </c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1"/>
    </row>
    <row r="46" spans="1:17" s="88" customFormat="1" ht="25.5" hidden="1" outlineLevel="1">
      <c r="A46" s="89"/>
      <c r="B46" s="69"/>
      <c r="C46" s="61" t="s">
        <v>75</v>
      </c>
      <c r="D46" s="54" t="s">
        <v>142</v>
      </c>
      <c r="E46" s="49">
        <f t="shared" si="2"/>
        <v>0</v>
      </c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1"/>
    </row>
    <row r="47" spans="1:17" s="88" customFormat="1" ht="12.75" collapsed="1">
      <c r="A47" s="89"/>
      <c r="B47" s="44" t="s">
        <v>76</v>
      </c>
      <c r="C47" s="61" t="s">
        <v>143</v>
      </c>
      <c r="D47" s="54"/>
      <c r="E47" s="49">
        <f t="shared" si="2"/>
        <v>5</v>
      </c>
      <c r="F47" s="50" t="s">
        <v>192</v>
      </c>
      <c r="G47" s="50"/>
      <c r="H47" s="50"/>
      <c r="I47" s="50" t="s">
        <v>192</v>
      </c>
      <c r="J47" s="50"/>
      <c r="K47" s="50"/>
      <c r="L47" s="50" t="s">
        <v>192</v>
      </c>
      <c r="M47" s="50"/>
      <c r="N47" s="50"/>
      <c r="O47" s="50" t="s">
        <v>192</v>
      </c>
      <c r="P47" s="50" t="s">
        <v>192</v>
      </c>
      <c r="Q47" s="51"/>
    </row>
    <row r="48" spans="1:17" s="10" customFormat="1" ht="30" hidden="1" outlineLevel="1">
      <c r="A48" s="40"/>
      <c r="B48" s="16"/>
      <c r="C48" s="15" t="s">
        <v>77</v>
      </c>
      <c r="D48" s="20" t="s">
        <v>144</v>
      </c>
      <c r="E48" s="28">
        <f>COUNTIF(F48:Q48,"x")</f>
        <v>0</v>
      </c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</row>
    <row r="49" spans="1:17" s="10" customFormat="1" ht="30" hidden="1" outlineLevel="1">
      <c r="A49" s="40"/>
      <c r="B49" s="16"/>
      <c r="C49" s="15" t="s">
        <v>78</v>
      </c>
      <c r="D49" s="20" t="s">
        <v>145</v>
      </c>
      <c r="E49" s="11">
        <f>COUNTIF(F49:Q49,"x")</f>
        <v>0</v>
      </c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</row>
    <row r="50" spans="1:17" s="10" customFormat="1" ht="30" hidden="1" outlineLevel="1">
      <c r="A50" s="40"/>
      <c r="B50" s="16"/>
      <c r="C50" s="15" t="s">
        <v>79</v>
      </c>
      <c r="D50" s="20" t="s">
        <v>146</v>
      </c>
      <c r="E50" s="11">
        <f>COUNTIF(F50:Q50,"x")</f>
        <v>0</v>
      </c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</row>
    <row r="51" spans="1:17" s="10" customFormat="1" hidden="1" outlineLevel="1">
      <c r="A51" s="40"/>
      <c r="B51" s="16"/>
      <c r="C51" s="15" t="s">
        <v>80</v>
      </c>
      <c r="D51" s="20" t="s">
        <v>147</v>
      </c>
      <c r="E51" s="73">
        <f>COUNTIF(F51:Q51,"x")</f>
        <v>0</v>
      </c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</row>
    <row r="52" spans="1:17" s="101" customFormat="1" ht="15" customHeight="1" collapsed="1">
      <c r="A52" s="102" t="s">
        <v>81</v>
      </c>
      <c r="B52" s="103" t="s">
        <v>82</v>
      </c>
      <c r="C52" s="104"/>
      <c r="D52" s="105"/>
      <c r="E52" s="97"/>
      <c r="F52" s="97"/>
      <c r="G52" s="98"/>
      <c r="H52" s="98"/>
      <c r="I52" s="98"/>
      <c r="J52" s="98"/>
      <c r="K52" s="98"/>
      <c r="L52" s="98"/>
      <c r="M52" s="98"/>
      <c r="N52" s="98"/>
      <c r="O52" s="99"/>
      <c r="P52" s="99"/>
      <c r="Q52" s="100"/>
    </row>
    <row r="53" spans="1:17" s="88" customFormat="1" ht="12.75">
      <c r="A53" s="91"/>
      <c r="B53" s="41" t="s">
        <v>83</v>
      </c>
      <c r="C53" s="60" t="s">
        <v>148</v>
      </c>
      <c r="D53" s="55"/>
      <c r="E53" s="70">
        <f t="shared" ref="E53:E66" si="3">COUNTA(F53:Q53)</f>
        <v>5</v>
      </c>
      <c r="F53" s="74" t="s">
        <v>192</v>
      </c>
      <c r="G53" s="74"/>
      <c r="H53" s="74"/>
      <c r="I53" s="74" t="s">
        <v>192</v>
      </c>
      <c r="J53" s="74"/>
      <c r="K53" s="74"/>
      <c r="L53" s="74" t="s">
        <v>192</v>
      </c>
      <c r="M53" s="74"/>
      <c r="N53" s="74"/>
      <c r="O53" s="74" t="s">
        <v>192</v>
      </c>
      <c r="P53" s="74" t="s">
        <v>192</v>
      </c>
      <c r="Q53" s="75"/>
    </row>
    <row r="54" spans="1:17" s="88" customFormat="1" ht="25.5" hidden="1" outlineLevel="1">
      <c r="A54" s="92"/>
      <c r="B54" s="66"/>
      <c r="C54" s="61" t="s">
        <v>84</v>
      </c>
      <c r="D54" s="54" t="s">
        <v>149</v>
      </c>
      <c r="E54" s="49">
        <f t="shared" si="3"/>
        <v>0</v>
      </c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1"/>
    </row>
    <row r="55" spans="1:17" s="88" customFormat="1" ht="25.5" hidden="1" outlineLevel="1">
      <c r="A55" s="92"/>
      <c r="B55" s="66"/>
      <c r="C55" s="61" t="s">
        <v>85</v>
      </c>
      <c r="D55" s="54" t="s">
        <v>150</v>
      </c>
      <c r="E55" s="49">
        <f t="shared" si="3"/>
        <v>0</v>
      </c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1"/>
    </row>
    <row r="56" spans="1:17" s="88" customFormat="1" ht="25.5" hidden="1" outlineLevel="1">
      <c r="A56" s="92"/>
      <c r="B56" s="66"/>
      <c r="C56" s="61" t="s">
        <v>86</v>
      </c>
      <c r="D56" s="54" t="s">
        <v>151</v>
      </c>
      <c r="E56" s="49">
        <f t="shared" si="3"/>
        <v>0</v>
      </c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1"/>
    </row>
    <row r="57" spans="1:17" s="88" customFormat="1" ht="12.75" hidden="1" outlineLevel="1">
      <c r="A57" s="92"/>
      <c r="B57" s="66"/>
      <c r="C57" s="61" t="s">
        <v>87</v>
      </c>
      <c r="D57" s="54" t="s">
        <v>152</v>
      </c>
      <c r="E57" s="49">
        <f t="shared" si="3"/>
        <v>0</v>
      </c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1"/>
    </row>
    <row r="58" spans="1:17" s="88" customFormat="1" ht="25.5" hidden="1" outlineLevel="1">
      <c r="A58" s="92"/>
      <c r="B58" s="66"/>
      <c r="C58" s="61" t="s">
        <v>88</v>
      </c>
      <c r="D58" s="54" t="s">
        <v>153</v>
      </c>
      <c r="E58" s="49">
        <f t="shared" si="3"/>
        <v>0</v>
      </c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1"/>
    </row>
    <row r="59" spans="1:17" s="88" customFormat="1" ht="12.75" hidden="1" outlineLevel="1">
      <c r="A59" s="92"/>
      <c r="B59" s="66"/>
      <c r="C59" s="61" t="s">
        <v>89</v>
      </c>
      <c r="D59" s="54" t="s">
        <v>154</v>
      </c>
      <c r="E59" s="49">
        <f t="shared" si="3"/>
        <v>0</v>
      </c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1"/>
    </row>
    <row r="60" spans="1:17" s="88" customFormat="1" ht="12.75" collapsed="1">
      <c r="A60" s="92"/>
      <c r="B60" s="67" t="s">
        <v>90</v>
      </c>
      <c r="C60" s="61" t="s">
        <v>155</v>
      </c>
      <c r="D60" s="54"/>
      <c r="E60" s="49">
        <f t="shared" si="3"/>
        <v>5</v>
      </c>
      <c r="F60" s="50" t="s">
        <v>192</v>
      </c>
      <c r="G60" s="50"/>
      <c r="H60" s="50"/>
      <c r="I60" s="50" t="s">
        <v>192</v>
      </c>
      <c r="J60" s="50"/>
      <c r="K60" s="50"/>
      <c r="L60" s="50" t="s">
        <v>192</v>
      </c>
      <c r="M60" s="50"/>
      <c r="N60" s="50"/>
      <c r="O60" s="50" t="s">
        <v>192</v>
      </c>
      <c r="P60" s="50" t="s">
        <v>192</v>
      </c>
      <c r="Q60" s="51"/>
    </row>
    <row r="61" spans="1:17" s="88" customFormat="1" ht="25.5" hidden="1" outlineLevel="1">
      <c r="A61" s="92"/>
      <c r="B61" s="66"/>
      <c r="C61" s="61" t="s">
        <v>91</v>
      </c>
      <c r="D61" s="54" t="s">
        <v>156</v>
      </c>
      <c r="E61" s="49">
        <f t="shared" si="3"/>
        <v>0</v>
      </c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1"/>
    </row>
    <row r="62" spans="1:17" s="88" customFormat="1" ht="12.75" hidden="1" outlineLevel="1">
      <c r="A62" s="92"/>
      <c r="B62" s="66"/>
      <c r="C62" s="61" t="s">
        <v>92</v>
      </c>
      <c r="D62" s="54" t="s">
        <v>157</v>
      </c>
      <c r="E62" s="49">
        <f t="shared" si="3"/>
        <v>0</v>
      </c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1"/>
    </row>
    <row r="63" spans="1:17" s="88" customFormat="1" ht="12.75" hidden="1" outlineLevel="1">
      <c r="A63" s="92"/>
      <c r="B63" s="66"/>
      <c r="C63" s="61" t="s">
        <v>93</v>
      </c>
      <c r="D63" s="54" t="s">
        <v>158</v>
      </c>
      <c r="E63" s="49">
        <f t="shared" si="3"/>
        <v>0</v>
      </c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1"/>
    </row>
    <row r="64" spans="1:17" s="88" customFormat="1" ht="25.5" hidden="1" outlineLevel="1">
      <c r="A64" s="92"/>
      <c r="B64" s="66"/>
      <c r="C64" s="61" t="s">
        <v>94</v>
      </c>
      <c r="D64" s="54" t="s">
        <v>159</v>
      </c>
      <c r="E64" s="49">
        <f t="shared" si="3"/>
        <v>0</v>
      </c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1"/>
    </row>
    <row r="65" spans="1:17" s="88" customFormat="1" ht="25.5" hidden="1" outlineLevel="1">
      <c r="A65" s="92"/>
      <c r="B65" s="66"/>
      <c r="C65" s="61" t="s">
        <v>95</v>
      </c>
      <c r="D65" s="54" t="s">
        <v>160</v>
      </c>
      <c r="E65" s="49">
        <f t="shared" si="3"/>
        <v>0</v>
      </c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1"/>
    </row>
    <row r="66" spans="1:17" s="88" customFormat="1" ht="12.75" collapsed="1">
      <c r="A66" s="92"/>
      <c r="B66" s="67" t="s">
        <v>96</v>
      </c>
      <c r="C66" s="61" t="s">
        <v>161</v>
      </c>
      <c r="D66" s="54"/>
      <c r="E66" s="49">
        <f t="shared" si="3"/>
        <v>5</v>
      </c>
      <c r="F66" s="50" t="s">
        <v>192</v>
      </c>
      <c r="G66" s="50"/>
      <c r="H66" s="50"/>
      <c r="I66" s="50" t="s">
        <v>192</v>
      </c>
      <c r="J66" s="50"/>
      <c r="K66" s="50"/>
      <c r="L66" s="50" t="s">
        <v>192</v>
      </c>
      <c r="M66" s="50"/>
      <c r="N66" s="50"/>
      <c r="O66" s="50" t="s">
        <v>192</v>
      </c>
      <c r="P66" s="50" t="s">
        <v>192</v>
      </c>
      <c r="Q66" s="51"/>
    </row>
    <row r="67" spans="1:17" s="10" customFormat="1" ht="30" hidden="1" outlineLevel="1">
      <c r="A67" s="40"/>
      <c r="B67" s="16"/>
      <c r="C67" s="15" t="s">
        <v>97</v>
      </c>
      <c r="D67" s="20" t="s">
        <v>162</v>
      </c>
      <c r="E67" s="28">
        <f t="shared" ref="E67:E72" si="4">COUNTIF(F67:Q67,"x")</f>
        <v>0</v>
      </c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</row>
    <row r="68" spans="1:17" s="10" customFormat="1" ht="30" hidden="1" outlineLevel="1">
      <c r="A68" s="40"/>
      <c r="B68" s="16"/>
      <c r="C68" s="15" t="s">
        <v>98</v>
      </c>
      <c r="D68" s="20" t="s">
        <v>163</v>
      </c>
      <c r="E68" s="11">
        <f t="shared" si="4"/>
        <v>0</v>
      </c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</row>
    <row r="69" spans="1:17" s="10" customFormat="1" ht="30" hidden="1" outlineLevel="1">
      <c r="A69" s="40"/>
      <c r="B69" s="16"/>
      <c r="C69" s="15" t="s">
        <v>99</v>
      </c>
      <c r="D69" s="20" t="s">
        <v>164</v>
      </c>
      <c r="E69" s="11">
        <f t="shared" si="4"/>
        <v>0</v>
      </c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</row>
    <row r="70" spans="1:17" s="10" customFormat="1" hidden="1" outlineLevel="1">
      <c r="A70" s="40"/>
      <c r="B70" s="16"/>
      <c r="C70" s="15" t="s">
        <v>100</v>
      </c>
      <c r="D70" s="20" t="s">
        <v>165</v>
      </c>
      <c r="E70" s="11">
        <f t="shared" si="4"/>
        <v>0</v>
      </c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</row>
    <row r="71" spans="1:17" s="10" customFormat="1" ht="30" hidden="1" outlineLevel="1">
      <c r="A71" s="40"/>
      <c r="B71" s="16"/>
      <c r="C71" s="15" t="s">
        <v>101</v>
      </c>
      <c r="D71" s="20" t="s">
        <v>166</v>
      </c>
      <c r="E71" s="11">
        <f t="shared" si="4"/>
        <v>0</v>
      </c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</row>
    <row r="72" spans="1:17" s="10" customFormat="1" ht="30" hidden="1" outlineLevel="1">
      <c r="A72" s="40"/>
      <c r="B72" s="16"/>
      <c r="C72" s="15" t="s">
        <v>102</v>
      </c>
      <c r="D72" s="20" t="s">
        <v>167</v>
      </c>
      <c r="E72" s="73">
        <f t="shared" si="4"/>
        <v>0</v>
      </c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</row>
    <row r="73" spans="1:17" s="101" customFormat="1" ht="15" customHeight="1" collapsed="1">
      <c r="A73" s="102" t="s">
        <v>103</v>
      </c>
      <c r="B73" s="103" t="s">
        <v>104</v>
      </c>
      <c r="C73" s="104"/>
      <c r="D73" s="105"/>
      <c r="E73" s="97"/>
      <c r="F73" s="97"/>
      <c r="G73" s="98"/>
      <c r="H73" s="98"/>
      <c r="I73" s="98"/>
      <c r="J73" s="98"/>
      <c r="K73" s="98"/>
      <c r="L73" s="98"/>
      <c r="M73" s="98"/>
      <c r="N73" s="98"/>
      <c r="O73" s="99"/>
      <c r="P73" s="99"/>
      <c r="Q73" s="100"/>
    </row>
    <row r="74" spans="1:17" s="88" customFormat="1" ht="12.75">
      <c r="A74" s="87"/>
      <c r="B74" s="42" t="s">
        <v>105</v>
      </c>
      <c r="C74" s="60" t="s">
        <v>168</v>
      </c>
      <c r="D74" s="55"/>
      <c r="E74" s="70">
        <f t="shared" ref="E74:E86" si="5">COUNTA(F74:Q74)</f>
        <v>5</v>
      </c>
      <c r="F74" s="74" t="s">
        <v>192</v>
      </c>
      <c r="G74" s="74"/>
      <c r="H74" s="74"/>
      <c r="I74" s="74" t="s">
        <v>192</v>
      </c>
      <c r="J74" s="74"/>
      <c r="K74" s="74"/>
      <c r="L74" s="74" t="s">
        <v>192</v>
      </c>
      <c r="M74" s="74"/>
      <c r="N74" s="74"/>
      <c r="O74" s="74" t="s">
        <v>192</v>
      </c>
      <c r="P74" s="74" t="s">
        <v>192</v>
      </c>
      <c r="Q74" s="75"/>
    </row>
    <row r="75" spans="1:17" s="88" customFormat="1" ht="13.15" hidden="1" customHeight="1" outlineLevel="1">
      <c r="A75" s="89"/>
      <c r="B75" s="69"/>
      <c r="C75" s="61" t="s">
        <v>106</v>
      </c>
      <c r="D75" s="54" t="s">
        <v>169</v>
      </c>
      <c r="E75" s="49">
        <f t="shared" si="5"/>
        <v>0</v>
      </c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1"/>
    </row>
    <row r="76" spans="1:17" s="88" customFormat="1" ht="13.15" hidden="1" customHeight="1" outlineLevel="1">
      <c r="A76" s="89"/>
      <c r="B76" s="69"/>
      <c r="C76" s="61" t="s">
        <v>107</v>
      </c>
      <c r="D76" s="54" t="s">
        <v>170</v>
      </c>
      <c r="E76" s="49">
        <f t="shared" si="5"/>
        <v>0</v>
      </c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1"/>
    </row>
    <row r="77" spans="1:17" s="88" customFormat="1" ht="13.15" hidden="1" customHeight="1" outlineLevel="1">
      <c r="A77" s="89"/>
      <c r="B77" s="69"/>
      <c r="C77" s="61" t="s">
        <v>108</v>
      </c>
      <c r="D77" s="54" t="s">
        <v>171</v>
      </c>
      <c r="E77" s="49">
        <f t="shared" si="5"/>
        <v>0</v>
      </c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1"/>
    </row>
    <row r="78" spans="1:17" s="88" customFormat="1" ht="13.15" hidden="1" customHeight="1" outlineLevel="1">
      <c r="A78" s="89"/>
      <c r="B78" s="69"/>
      <c r="C78" s="61" t="s">
        <v>109</v>
      </c>
      <c r="D78" s="54" t="s">
        <v>172</v>
      </c>
      <c r="E78" s="49">
        <f t="shared" si="5"/>
        <v>0</v>
      </c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1"/>
    </row>
    <row r="79" spans="1:17" s="88" customFormat="1" ht="12.75" collapsed="1">
      <c r="A79" s="89"/>
      <c r="B79" s="44" t="s">
        <v>110</v>
      </c>
      <c r="C79" s="61" t="s">
        <v>173</v>
      </c>
      <c r="D79" s="54"/>
      <c r="E79" s="49">
        <f t="shared" si="5"/>
        <v>5</v>
      </c>
      <c r="F79" s="50" t="s">
        <v>192</v>
      </c>
      <c r="G79" s="50"/>
      <c r="H79" s="50"/>
      <c r="I79" s="50" t="s">
        <v>192</v>
      </c>
      <c r="J79" s="50"/>
      <c r="K79" s="50"/>
      <c r="L79" s="50" t="s">
        <v>192</v>
      </c>
      <c r="M79" s="50"/>
      <c r="N79" s="50"/>
      <c r="O79" s="50" t="s">
        <v>192</v>
      </c>
      <c r="P79" s="50" t="s">
        <v>192</v>
      </c>
      <c r="Q79" s="51"/>
    </row>
    <row r="80" spans="1:17" s="88" customFormat="1" ht="13.15" hidden="1" customHeight="1" outlineLevel="1">
      <c r="A80" s="89"/>
      <c r="B80" s="69"/>
      <c r="C80" s="61" t="s">
        <v>111</v>
      </c>
      <c r="D80" s="54" t="s">
        <v>174</v>
      </c>
      <c r="E80" s="49">
        <f t="shared" si="5"/>
        <v>0</v>
      </c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1"/>
    </row>
    <row r="81" spans="1:17" s="88" customFormat="1" ht="13.15" hidden="1" customHeight="1" outlineLevel="1">
      <c r="A81" s="89"/>
      <c r="B81" s="69"/>
      <c r="C81" s="61" t="s">
        <v>112</v>
      </c>
      <c r="D81" s="54" t="s">
        <v>175</v>
      </c>
      <c r="E81" s="49">
        <f t="shared" si="5"/>
        <v>0</v>
      </c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1"/>
    </row>
    <row r="82" spans="1:17" s="88" customFormat="1" ht="13.15" hidden="1" customHeight="1" outlineLevel="1">
      <c r="A82" s="89"/>
      <c r="B82" s="69"/>
      <c r="C82" s="61" t="s">
        <v>113</v>
      </c>
      <c r="D82" s="54" t="s">
        <v>176</v>
      </c>
      <c r="E82" s="49">
        <f t="shared" si="5"/>
        <v>0</v>
      </c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1"/>
    </row>
    <row r="83" spans="1:17" s="88" customFormat="1" ht="12.75" collapsed="1">
      <c r="A83" s="89"/>
      <c r="B83" s="44" t="s">
        <v>114</v>
      </c>
      <c r="C83" s="61" t="s">
        <v>177</v>
      </c>
      <c r="D83" s="54"/>
      <c r="E83" s="49">
        <f t="shared" si="5"/>
        <v>5</v>
      </c>
      <c r="F83" s="50" t="s">
        <v>192</v>
      </c>
      <c r="G83" s="50"/>
      <c r="H83" s="50"/>
      <c r="I83" s="50" t="s">
        <v>192</v>
      </c>
      <c r="J83" s="50"/>
      <c r="K83" s="50"/>
      <c r="L83" s="50" t="s">
        <v>192</v>
      </c>
      <c r="M83" s="50"/>
      <c r="N83" s="50"/>
      <c r="O83" s="50" t="s">
        <v>192</v>
      </c>
      <c r="P83" s="50" t="s">
        <v>192</v>
      </c>
      <c r="Q83" s="51"/>
    </row>
    <row r="84" spans="1:17" s="88" customFormat="1" ht="13.15" hidden="1" customHeight="1" outlineLevel="1">
      <c r="A84" s="89"/>
      <c r="B84" s="69"/>
      <c r="C84" s="61" t="s">
        <v>115</v>
      </c>
      <c r="D84" s="54" t="s">
        <v>178</v>
      </c>
      <c r="E84" s="49">
        <f t="shared" si="5"/>
        <v>0</v>
      </c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1"/>
    </row>
    <row r="85" spans="1:17" s="88" customFormat="1" ht="13.15" hidden="1" customHeight="1" outlineLevel="1">
      <c r="A85" s="89"/>
      <c r="B85" s="69"/>
      <c r="C85" s="61" t="s">
        <v>116</v>
      </c>
      <c r="D85" s="54" t="s">
        <v>179</v>
      </c>
      <c r="E85" s="49">
        <f t="shared" si="5"/>
        <v>0</v>
      </c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1"/>
    </row>
    <row r="86" spans="1:17" s="88" customFormat="1" ht="12.75" collapsed="1">
      <c r="A86" s="89"/>
      <c r="B86" s="44" t="s">
        <v>117</v>
      </c>
      <c r="C86" s="62" t="s">
        <v>180</v>
      </c>
      <c r="D86" s="56"/>
      <c r="E86" s="57">
        <f t="shared" si="5"/>
        <v>5</v>
      </c>
      <c r="F86" s="58" t="s">
        <v>192</v>
      </c>
      <c r="G86" s="58"/>
      <c r="H86" s="58"/>
      <c r="I86" s="58" t="s">
        <v>192</v>
      </c>
      <c r="J86" s="58"/>
      <c r="K86" s="58"/>
      <c r="L86" s="58" t="s">
        <v>192</v>
      </c>
      <c r="M86" s="58"/>
      <c r="N86" s="58"/>
      <c r="O86" s="58" t="s">
        <v>192</v>
      </c>
      <c r="P86" s="58" t="s">
        <v>192</v>
      </c>
      <c r="Q86" s="59"/>
    </row>
    <row r="87" spans="1:17" s="10" customFormat="1" ht="30" hidden="1" outlineLevel="1">
      <c r="A87" s="16"/>
      <c r="B87" s="16"/>
      <c r="C87" s="15" t="s">
        <v>118</v>
      </c>
      <c r="D87" s="20" t="s">
        <v>181</v>
      </c>
      <c r="E87" s="28">
        <f>COUNTIF(F87:Q87,"x")</f>
        <v>1</v>
      </c>
      <c r="F87" s="28"/>
      <c r="G87" s="28" t="s">
        <v>192</v>
      </c>
      <c r="H87" s="28"/>
      <c r="I87" s="28"/>
      <c r="J87" s="28"/>
      <c r="K87" s="28"/>
      <c r="L87" s="28"/>
      <c r="M87" s="28"/>
      <c r="N87" s="28"/>
      <c r="O87" s="28"/>
      <c r="P87" s="28"/>
      <c r="Q87" s="28"/>
    </row>
    <row r="88" spans="1:17" s="10" customFormat="1" ht="30" hidden="1" outlineLevel="1">
      <c r="A88" s="16"/>
      <c r="B88" s="16"/>
      <c r="C88" s="15" t="s">
        <v>119</v>
      </c>
      <c r="D88" s="20" t="s">
        <v>182</v>
      </c>
      <c r="E88" s="11">
        <f>COUNTIF(F88:Q88,"x")</f>
        <v>0</v>
      </c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</row>
    <row r="89" spans="1:17" s="10" customFormat="1" ht="30" hidden="1" outlineLevel="1">
      <c r="A89" s="16"/>
      <c r="B89" s="16"/>
      <c r="C89" s="15" t="s">
        <v>120</v>
      </c>
      <c r="D89" s="20" t="s">
        <v>183</v>
      </c>
      <c r="E89" s="11">
        <f>COUNTIF(F89:Q89,"x")</f>
        <v>0</v>
      </c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</row>
    <row r="90" spans="1:17" s="10" customFormat="1" ht="30" hidden="1" outlineLevel="1">
      <c r="A90" s="16"/>
      <c r="B90" s="16"/>
      <c r="C90" s="15" t="s">
        <v>121</v>
      </c>
      <c r="D90" s="20" t="s">
        <v>184</v>
      </c>
      <c r="E90" s="11">
        <f>COUNTIF(F90:Q90,"x")</f>
        <v>0</v>
      </c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</row>
    <row r="91" spans="1:17" collapsed="1">
      <c r="A91" s="22"/>
      <c r="B91" s="22"/>
      <c r="C91" s="23"/>
      <c r="D91" s="20"/>
    </row>
    <row r="92" spans="1:17">
      <c r="D92" s="14" t="s">
        <v>191</v>
      </c>
    </row>
  </sheetData>
  <hyperlinks>
    <hyperlink ref="D92" r:id="rId1"/>
  </hyperlinks>
  <printOptions horizontalCentered="1" verticalCentered="1"/>
  <pageMargins left="0.5" right="0.5" top="1" bottom="0.75" header="0.25" footer="0.25"/>
  <pageSetup orientation="landscape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Liens Compétences-Cours</vt:lpstr>
      <vt:lpstr>Intentions_educatives</vt:lpstr>
      <vt:lpstr>Habiletés TIC</vt:lpstr>
      <vt:lpstr>'Habiletés TIC'!Zone_d_impression</vt:lpstr>
      <vt:lpstr>Intentions_educatives!Zone_d_impression</vt:lpstr>
      <vt:lpstr>'Liens Compétences-Cours'!Zone_d_impression</vt:lpstr>
    </vt:vector>
  </TitlesOfParts>
  <Company>Cegep de Matane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Service Informatique</dc:creator>
  <cp:lastModifiedBy>installe</cp:lastModifiedBy>
  <cp:lastPrinted>2016-04-08T17:27:28Z</cp:lastPrinted>
  <dcterms:created xsi:type="dcterms:W3CDTF">2000-02-11T20:36:44Z</dcterms:created>
  <dcterms:modified xsi:type="dcterms:W3CDTF">2016-05-12T14:03:24Z</dcterms:modified>
</cp:coreProperties>
</file>